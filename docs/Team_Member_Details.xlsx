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213c487815afc65/Documents/TEAM36/"/>
    </mc:Choice>
  </mc:AlternateContent>
  <xr:revisionPtr revIDLastSave="0" documentId="8_{77DF1AE1-C8E3-4943-9A37-08C7320F6AB5}" xr6:coauthVersionLast="47" xr6:coauthVersionMax="47" xr10:uidLastSave="{00000000-0000-0000-0000-000000000000}"/>
  <bookViews>
    <workbookView xWindow="2268" yWindow="2268" windowWidth="17280" windowHeight="8880" firstSheet="2" activeTab="3" xr2:uid="{00000000-000D-0000-FFFF-FFFF00000000}"/>
  </bookViews>
  <sheets>
    <sheet name="not eligible first" sheetId="7" state="hidden" r:id="rId1"/>
    <sheet name="unenroll list" sheetId="9" state="hidden" r:id="rId2"/>
    <sheet name="Student name -173" sheetId="13" r:id="rId3"/>
    <sheet name="Project Team" sheetId="11" r:id="rId4"/>
    <sheet name="Sheet1" sheetId="14" r:id="rId5"/>
  </sheets>
  <definedNames>
    <definedName name="_xlnm.Print_Area" localSheetId="3">'Project Team'!$A$1:$E$87</definedName>
    <definedName name="_xlnm.Print_Area" localSheetId="2">'Student name -173'!$A$1:$U$102</definedName>
    <definedName name="_xlnm.Print_Area" localSheetId="1">'unenroll list'!$A$1:$U$102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99" i="13" l="1"/>
  <c r="Q99" i="13"/>
  <c r="P99" i="13"/>
  <c r="O99" i="13"/>
  <c r="N99" i="13"/>
  <c r="M99" i="13"/>
  <c r="L99" i="13"/>
  <c r="K99" i="13"/>
  <c r="J99" i="13"/>
  <c r="I99" i="13"/>
  <c r="H99" i="13"/>
  <c r="G99" i="13"/>
  <c r="F99" i="13"/>
  <c r="E99" i="13"/>
  <c r="D99" i="13"/>
  <c r="R98" i="13"/>
  <c r="Q98" i="13"/>
  <c r="P98" i="13"/>
  <c r="O98" i="13"/>
  <c r="N98" i="13"/>
  <c r="M98" i="13"/>
  <c r="L98" i="13"/>
  <c r="K98" i="13"/>
  <c r="J98" i="13"/>
  <c r="I98" i="13"/>
  <c r="H98" i="13"/>
  <c r="G98" i="13"/>
  <c r="F98" i="13"/>
  <c r="E98" i="13"/>
  <c r="D98" i="13"/>
  <c r="S97" i="13"/>
  <c r="T97" i="13" s="1"/>
  <c r="U97" i="13" s="1"/>
  <c r="S96" i="13"/>
  <c r="T96" i="13" s="1"/>
  <c r="U96" i="13" s="1"/>
  <c r="S95" i="13"/>
  <c r="T95" i="13" s="1"/>
  <c r="U95" i="13" s="1"/>
  <c r="S94" i="13"/>
  <c r="T94" i="13" s="1"/>
  <c r="U94" i="13" s="1"/>
  <c r="S93" i="13"/>
  <c r="T93" i="13" s="1"/>
  <c r="U93" i="13" s="1"/>
  <c r="S92" i="13"/>
  <c r="T92" i="13" s="1"/>
  <c r="U92" i="13" s="1"/>
  <c r="S91" i="13"/>
  <c r="T91" i="13" s="1"/>
  <c r="U91" i="13" s="1"/>
  <c r="S90" i="13"/>
  <c r="T90" i="13" s="1"/>
  <c r="U90" i="13" s="1"/>
  <c r="S89" i="13"/>
  <c r="T89" i="13" s="1"/>
  <c r="U89" i="13" s="1"/>
  <c r="S88" i="13"/>
  <c r="T88" i="13" s="1"/>
  <c r="U88" i="13" s="1"/>
  <c r="T87" i="13"/>
  <c r="U87" i="13" s="1"/>
  <c r="S87" i="13"/>
  <c r="S86" i="13"/>
  <c r="T86" i="13" s="1"/>
  <c r="U86" i="13" s="1"/>
  <c r="S85" i="13"/>
  <c r="T85" i="13" s="1"/>
  <c r="U85" i="13" s="1"/>
  <c r="S84" i="13"/>
  <c r="T84" i="13" s="1"/>
  <c r="U84" i="13" s="1"/>
  <c r="T83" i="13"/>
  <c r="U83" i="13" s="1"/>
  <c r="S83" i="13"/>
  <c r="S82" i="13"/>
  <c r="T82" i="13" s="1"/>
  <c r="U82" i="13" s="1"/>
  <c r="S81" i="13"/>
  <c r="T81" i="13" s="1"/>
  <c r="U81" i="13" s="1"/>
  <c r="S80" i="13"/>
  <c r="T80" i="13" s="1"/>
  <c r="U80" i="13" s="1"/>
  <c r="T79" i="13"/>
  <c r="U79" i="13" s="1"/>
  <c r="S79" i="13"/>
  <c r="S78" i="13"/>
  <c r="T78" i="13" s="1"/>
  <c r="U78" i="13" s="1"/>
  <c r="S77" i="13"/>
  <c r="T77" i="13" s="1"/>
  <c r="U77" i="13" s="1"/>
  <c r="S76" i="13"/>
  <c r="T76" i="13" s="1"/>
  <c r="U76" i="13" s="1"/>
  <c r="S75" i="13"/>
  <c r="T75" i="13" s="1"/>
  <c r="U75" i="13" s="1"/>
  <c r="S74" i="13"/>
  <c r="T74" i="13" s="1"/>
  <c r="U74" i="13" s="1"/>
  <c r="S73" i="13"/>
  <c r="T73" i="13" s="1"/>
  <c r="U73" i="13" s="1"/>
  <c r="S72" i="13"/>
  <c r="T72" i="13" s="1"/>
  <c r="U72" i="13" s="1"/>
  <c r="S71" i="13"/>
  <c r="T71" i="13" s="1"/>
  <c r="U71" i="13" s="1"/>
  <c r="S70" i="13"/>
  <c r="T70" i="13" s="1"/>
  <c r="U70" i="13" s="1"/>
  <c r="S69" i="13"/>
  <c r="T69" i="13" s="1"/>
  <c r="U69" i="13" s="1"/>
  <c r="S68" i="13"/>
  <c r="T68" i="13" s="1"/>
  <c r="U68" i="13" s="1"/>
  <c r="T67" i="13"/>
  <c r="U67" i="13" s="1"/>
  <c r="S67" i="13"/>
  <c r="S66" i="13"/>
  <c r="T66" i="13" s="1"/>
  <c r="U66" i="13" s="1"/>
  <c r="S65" i="13"/>
  <c r="T65" i="13" s="1"/>
  <c r="U65" i="13" s="1"/>
  <c r="S64" i="13"/>
  <c r="T64" i="13" s="1"/>
  <c r="U64" i="13" s="1"/>
  <c r="S63" i="13"/>
  <c r="T63" i="13" s="1"/>
  <c r="U63" i="13" s="1"/>
  <c r="S62" i="13"/>
  <c r="T62" i="13" s="1"/>
  <c r="U62" i="13" s="1"/>
  <c r="S61" i="13"/>
  <c r="T61" i="13" s="1"/>
  <c r="U61" i="13" s="1"/>
  <c r="S60" i="13"/>
  <c r="T60" i="13" s="1"/>
  <c r="U60" i="13" s="1"/>
  <c r="S59" i="13"/>
  <c r="T59" i="13" s="1"/>
  <c r="U59" i="13" s="1"/>
  <c r="S58" i="13"/>
  <c r="T58" i="13" s="1"/>
  <c r="U58" i="13" s="1"/>
  <c r="S57" i="13"/>
  <c r="T57" i="13" s="1"/>
  <c r="U57" i="13" s="1"/>
  <c r="S56" i="13"/>
  <c r="T56" i="13" s="1"/>
  <c r="U56" i="13" s="1"/>
  <c r="S55" i="13"/>
  <c r="T55" i="13" s="1"/>
  <c r="U55" i="13" s="1"/>
  <c r="S54" i="13"/>
  <c r="T54" i="13" s="1"/>
  <c r="U54" i="13" s="1"/>
  <c r="S53" i="13"/>
  <c r="T53" i="13" s="1"/>
  <c r="U53" i="13" s="1"/>
  <c r="S52" i="13"/>
  <c r="T52" i="13" s="1"/>
  <c r="U52" i="13" s="1"/>
  <c r="S51" i="13"/>
  <c r="T51" i="13" s="1"/>
  <c r="U51" i="13" s="1"/>
  <c r="S50" i="13"/>
  <c r="T50" i="13" s="1"/>
  <c r="U50" i="13" s="1"/>
  <c r="S49" i="13"/>
  <c r="T49" i="13" s="1"/>
  <c r="U49" i="13" s="1"/>
  <c r="S48" i="13"/>
  <c r="T48" i="13" s="1"/>
  <c r="U48" i="13" s="1"/>
  <c r="S47" i="13"/>
  <c r="T47" i="13" s="1"/>
  <c r="U47" i="13" s="1"/>
  <c r="S46" i="13"/>
  <c r="T46" i="13" s="1"/>
  <c r="U46" i="13" s="1"/>
  <c r="S45" i="13"/>
  <c r="T45" i="13" s="1"/>
  <c r="U45" i="13" s="1"/>
  <c r="S44" i="13"/>
  <c r="T44" i="13" s="1"/>
  <c r="U44" i="13" s="1"/>
  <c r="S43" i="13"/>
  <c r="T43" i="13" s="1"/>
  <c r="U43" i="13" s="1"/>
  <c r="S42" i="13"/>
  <c r="T42" i="13" s="1"/>
  <c r="U42" i="13" s="1"/>
  <c r="S41" i="13"/>
  <c r="T41" i="13" s="1"/>
  <c r="U41" i="13" s="1"/>
  <c r="S40" i="13"/>
  <c r="T40" i="13" s="1"/>
  <c r="U40" i="13" s="1"/>
  <c r="S39" i="13"/>
  <c r="T39" i="13" s="1"/>
  <c r="U39" i="13" s="1"/>
  <c r="S38" i="13"/>
  <c r="T38" i="13" s="1"/>
  <c r="U38" i="13" s="1"/>
  <c r="S37" i="13"/>
  <c r="T37" i="13" s="1"/>
  <c r="U37" i="13" s="1"/>
  <c r="S36" i="13"/>
  <c r="T36" i="13" s="1"/>
  <c r="U36" i="13" s="1"/>
  <c r="S35" i="13"/>
  <c r="T35" i="13" s="1"/>
  <c r="U35" i="13" s="1"/>
  <c r="S34" i="13"/>
  <c r="T34" i="13" s="1"/>
  <c r="U34" i="13" s="1"/>
  <c r="S33" i="13"/>
  <c r="T33" i="13" s="1"/>
  <c r="U33" i="13" s="1"/>
  <c r="S32" i="13"/>
  <c r="T32" i="13" s="1"/>
  <c r="U32" i="13" s="1"/>
  <c r="S31" i="13"/>
  <c r="T31" i="13" s="1"/>
  <c r="U31" i="13" s="1"/>
  <c r="S30" i="13"/>
  <c r="T30" i="13" s="1"/>
  <c r="U30" i="13" s="1"/>
  <c r="S29" i="13"/>
  <c r="T29" i="13" s="1"/>
  <c r="U29" i="13" s="1"/>
  <c r="S28" i="13"/>
  <c r="T28" i="13" s="1"/>
  <c r="U28" i="13" s="1"/>
  <c r="S27" i="13"/>
  <c r="T27" i="13" s="1"/>
  <c r="U27" i="13" s="1"/>
  <c r="S26" i="13"/>
  <c r="T26" i="13" s="1"/>
  <c r="U26" i="13" s="1"/>
  <c r="S25" i="13"/>
  <c r="T25" i="13" s="1"/>
  <c r="U25" i="13" s="1"/>
  <c r="S24" i="13"/>
  <c r="T24" i="13" s="1"/>
  <c r="U24" i="13" s="1"/>
  <c r="S23" i="13"/>
  <c r="T23" i="13" s="1"/>
  <c r="U23" i="13" s="1"/>
  <c r="S22" i="13"/>
  <c r="T22" i="13" s="1"/>
  <c r="U22" i="13" s="1"/>
  <c r="S21" i="13"/>
  <c r="T21" i="13" s="1"/>
  <c r="U21" i="13" s="1"/>
  <c r="T20" i="13"/>
  <c r="U20" i="13" s="1"/>
  <c r="S20" i="13"/>
  <c r="S19" i="13"/>
  <c r="T19" i="13" s="1"/>
  <c r="U19" i="13" s="1"/>
  <c r="S18" i="13"/>
  <c r="T18" i="13" s="1"/>
  <c r="U18" i="13" s="1"/>
  <c r="S17" i="13"/>
  <c r="T17" i="13" s="1"/>
  <c r="U17" i="13" s="1"/>
  <c r="T16" i="13"/>
  <c r="U16" i="13" s="1"/>
  <c r="S16" i="13"/>
  <c r="S15" i="13"/>
  <c r="T15" i="13" s="1"/>
  <c r="U15" i="13" s="1"/>
  <c r="S14" i="13"/>
  <c r="T14" i="13" s="1"/>
  <c r="U14" i="13" s="1"/>
  <c r="S13" i="13"/>
  <c r="T13" i="13" s="1"/>
  <c r="U13" i="13" s="1"/>
  <c r="R99" i="9" l="1"/>
  <c r="Q99" i="9"/>
  <c r="P99" i="9"/>
  <c r="O99" i="9"/>
  <c r="N99" i="9"/>
  <c r="M99" i="9"/>
  <c r="L99" i="9"/>
  <c r="K99" i="9"/>
  <c r="J99" i="9"/>
  <c r="I99" i="9"/>
  <c r="H99" i="9"/>
  <c r="G99" i="9"/>
  <c r="F99" i="9"/>
  <c r="E99" i="9"/>
  <c r="D99" i="9"/>
  <c r="R98" i="9"/>
  <c r="Q98" i="9"/>
  <c r="P98" i="9"/>
  <c r="O98" i="9"/>
  <c r="N98" i="9"/>
  <c r="M98" i="9"/>
  <c r="L98" i="9"/>
  <c r="K98" i="9"/>
  <c r="J98" i="9"/>
  <c r="I98" i="9"/>
  <c r="H98" i="9"/>
  <c r="G98" i="9"/>
  <c r="F98" i="9"/>
  <c r="E98" i="9"/>
  <c r="D98" i="9"/>
  <c r="S97" i="9"/>
  <c r="T97" i="9" s="1"/>
  <c r="U97" i="9" s="1"/>
  <c r="S96" i="9"/>
  <c r="T96" i="9" s="1"/>
  <c r="U96" i="9" s="1"/>
  <c r="S95" i="9"/>
  <c r="T95" i="9" s="1"/>
  <c r="U95" i="9" s="1"/>
  <c r="S94" i="9"/>
  <c r="T94" i="9" s="1"/>
  <c r="U94" i="9" s="1"/>
  <c r="S77" i="9"/>
  <c r="S93" i="9"/>
  <c r="S92" i="9"/>
  <c r="T92" i="9" s="1"/>
  <c r="U92" i="9" s="1"/>
  <c r="S91" i="9"/>
  <c r="T91" i="9" s="1"/>
  <c r="U91" i="9" s="1"/>
  <c r="S20" i="9"/>
  <c r="S90" i="9"/>
  <c r="T90" i="9" s="1"/>
  <c r="U90" i="9" s="1"/>
  <c r="S89" i="9"/>
  <c r="T86" i="9"/>
  <c r="U86" i="9" s="1"/>
  <c r="S88" i="9"/>
  <c r="T88" i="9" s="1"/>
  <c r="U88" i="9" s="1"/>
  <c r="S87" i="9"/>
  <c r="S86" i="9"/>
  <c r="S85" i="9"/>
  <c r="S84" i="9"/>
  <c r="T84" i="9" s="1"/>
  <c r="U84" i="9" s="1"/>
  <c r="S83" i="9"/>
  <c r="S19" i="9"/>
  <c r="S82" i="9"/>
  <c r="T82" i="9" s="1"/>
  <c r="U82" i="9" s="1"/>
  <c r="S81" i="9"/>
  <c r="S80" i="9"/>
  <c r="T77" i="9" s="1"/>
  <c r="U77" i="9" s="1"/>
  <c r="S34" i="9"/>
  <c r="S18" i="9"/>
  <c r="S79" i="9"/>
  <c r="T79" i="9" s="1"/>
  <c r="U79" i="9" s="1"/>
  <c r="S78" i="9"/>
  <c r="T78" i="9" s="1"/>
  <c r="U78" i="9" s="1"/>
  <c r="S17" i="9"/>
  <c r="S76" i="9"/>
  <c r="T76" i="9" s="1"/>
  <c r="U76" i="9" s="1"/>
  <c r="S75" i="9"/>
  <c r="T75" i="9" s="1"/>
  <c r="U75" i="9" s="1"/>
  <c r="S74" i="9"/>
  <c r="T74" i="9" s="1"/>
  <c r="U74" i="9" s="1"/>
  <c r="S73" i="9"/>
  <c r="S72" i="9"/>
  <c r="T72" i="9" s="1"/>
  <c r="U72" i="9" s="1"/>
  <c r="S71" i="9"/>
  <c r="T71" i="9" s="1"/>
  <c r="U71" i="9" s="1"/>
  <c r="S70" i="9"/>
  <c r="T70" i="9" s="1"/>
  <c r="U70" i="9" s="1"/>
  <c r="S69" i="9"/>
  <c r="S68" i="9"/>
  <c r="T68" i="9" s="1"/>
  <c r="U68" i="9" s="1"/>
  <c r="S16" i="9"/>
  <c r="T16" i="9" s="1"/>
  <c r="U16" i="9" s="1"/>
  <c r="S67" i="9"/>
  <c r="T67" i="9" s="1"/>
  <c r="U67" i="9" s="1"/>
  <c r="T60" i="9"/>
  <c r="U60" i="9" s="1"/>
  <c r="S15" i="9"/>
  <c r="T15" i="9" s="1"/>
  <c r="U15" i="9" s="1"/>
  <c r="S66" i="9"/>
  <c r="T66" i="9" s="1"/>
  <c r="U66" i="9" s="1"/>
  <c r="S27" i="9"/>
  <c r="T27" i="9" s="1"/>
  <c r="U27" i="9" s="1"/>
  <c r="S33" i="9"/>
  <c r="S65" i="9"/>
  <c r="S32" i="9"/>
  <c r="S64" i="9"/>
  <c r="S26" i="9"/>
  <c r="S63" i="9"/>
  <c r="T63" i="9" s="1"/>
  <c r="U63" i="9" s="1"/>
  <c r="T51" i="9"/>
  <c r="U51" i="9" s="1"/>
  <c r="S62" i="9"/>
  <c r="S61" i="9"/>
  <c r="S60" i="9"/>
  <c r="S59" i="9"/>
  <c r="T59" i="9" s="1"/>
  <c r="U59" i="9" s="1"/>
  <c r="S58" i="9"/>
  <c r="S14" i="9"/>
  <c r="S57" i="9"/>
  <c r="T44" i="9"/>
  <c r="U44" i="9" s="1"/>
  <c r="S56" i="9"/>
  <c r="T56" i="9" s="1"/>
  <c r="U56" i="9" s="1"/>
  <c r="S55" i="9"/>
  <c r="T55" i="9" s="1"/>
  <c r="U55" i="9" s="1"/>
  <c r="S54" i="9"/>
  <c r="S13" i="9"/>
  <c r="S53" i="9"/>
  <c r="S52" i="9"/>
  <c r="T52" i="9" s="1"/>
  <c r="U52" i="9" s="1"/>
  <c r="S51" i="9"/>
  <c r="S31" i="9"/>
  <c r="S50" i="9"/>
  <c r="S49" i="9"/>
  <c r="S48" i="9"/>
  <c r="S25" i="9"/>
  <c r="T32" i="9"/>
  <c r="U32" i="9" s="1"/>
  <c r="S30" i="9"/>
  <c r="S29" i="9"/>
  <c r="S24" i="9"/>
  <c r="T24" i="9" s="1"/>
  <c r="U24" i="9" s="1"/>
  <c r="S47" i="9"/>
  <c r="T47" i="9" s="1"/>
  <c r="U47" i="9" s="1"/>
  <c r="S46" i="9"/>
  <c r="S23" i="9"/>
  <c r="S22" i="9"/>
  <c r="T26" i="9" s="1"/>
  <c r="U26" i="9" s="1"/>
  <c r="S21" i="9"/>
  <c r="S45" i="9"/>
  <c r="T23" i="9"/>
  <c r="U23" i="9" s="1"/>
  <c r="S44" i="9"/>
  <c r="S43" i="9"/>
  <c r="S42" i="9"/>
  <c r="T21" i="9" s="1"/>
  <c r="U21" i="9" s="1"/>
  <c r="T20" i="9"/>
  <c r="U20" i="9" s="1"/>
  <c r="S41" i="9"/>
  <c r="T19" i="9"/>
  <c r="U19" i="9" s="1"/>
  <c r="S40" i="9"/>
  <c r="T40" i="9" s="1"/>
  <c r="U40" i="9" s="1"/>
  <c r="S39" i="9"/>
  <c r="S28" i="9"/>
  <c r="T28" i="9" s="1"/>
  <c r="U28" i="9" s="1"/>
  <c r="S38" i="9"/>
  <c r="S37" i="9"/>
  <c r="S36" i="9"/>
  <c r="S35" i="9"/>
  <c r="T13" i="9" s="1"/>
  <c r="U13" i="9" s="1"/>
  <c r="T33" i="9" l="1"/>
  <c r="U33" i="9" s="1"/>
  <c r="T14" i="9"/>
  <c r="U14" i="9" s="1"/>
  <c r="T34" i="9"/>
  <c r="U34" i="9" s="1"/>
  <c r="T93" i="9"/>
  <c r="U93" i="9" s="1"/>
  <c r="T25" i="9"/>
  <c r="U25" i="9" s="1"/>
  <c r="T18" i="9"/>
  <c r="U18" i="9" s="1"/>
  <c r="T17" i="9"/>
  <c r="U17" i="9" s="1"/>
  <c r="T35" i="9"/>
  <c r="U35" i="9" s="1"/>
  <c r="T37" i="9"/>
  <c r="U37" i="9" s="1"/>
  <c r="T42" i="9"/>
  <c r="U42" i="9" s="1"/>
  <c r="T53" i="9"/>
  <c r="U53" i="9" s="1"/>
  <c r="T58" i="9"/>
  <c r="U58" i="9" s="1"/>
  <c r="T22" i="9"/>
  <c r="U22" i="9" s="1"/>
  <c r="T31" i="9"/>
  <c r="U31" i="9" s="1"/>
  <c r="T38" i="9"/>
  <c r="U38" i="9" s="1"/>
  <c r="T49" i="9"/>
  <c r="U49" i="9" s="1"/>
  <c r="T54" i="9"/>
  <c r="U54" i="9" s="1"/>
  <c r="T65" i="9"/>
  <c r="U65" i="9" s="1"/>
  <c r="T81" i="9"/>
  <c r="U81" i="9" s="1"/>
  <c r="T83" i="9"/>
  <c r="U83" i="9" s="1"/>
  <c r="T29" i="9"/>
  <c r="U29" i="9" s="1"/>
  <c r="T36" i="9"/>
  <c r="U36" i="9" s="1"/>
  <c r="T43" i="9"/>
  <c r="U43" i="9" s="1"/>
  <c r="T45" i="9"/>
  <c r="U45" i="9" s="1"/>
  <c r="T50" i="9"/>
  <c r="U50" i="9" s="1"/>
  <c r="T61" i="9"/>
  <c r="U61" i="9" s="1"/>
  <c r="T69" i="9"/>
  <c r="U69" i="9" s="1"/>
  <c r="T85" i="9"/>
  <c r="U85" i="9" s="1"/>
  <c r="T87" i="9"/>
  <c r="U87" i="9" s="1"/>
  <c r="T30" i="9"/>
  <c r="U30" i="9" s="1"/>
  <c r="T39" i="9"/>
  <c r="U39" i="9" s="1"/>
  <c r="T41" i="9"/>
  <c r="U41" i="9" s="1"/>
  <c r="T46" i="9"/>
  <c r="U46" i="9" s="1"/>
  <c r="T48" i="9"/>
  <c r="U48" i="9" s="1"/>
  <c r="T57" i="9"/>
  <c r="U57" i="9" s="1"/>
  <c r="T62" i="9"/>
  <c r="U62" i="9" s="1"/>
  <c r="T64" i="9"/>
  <c r="U64" i="9" s="1"/>
  <c r="T73" i="9"/>
  <c r="U73" i="9" s="1"/>
  <c r="T80" i="9"/>
  <c r="U80" i="9" s="1"/>
  <c r="T89" i="9"/>
  <c r="U89" i="9" s="1"/>
  <c r="R99" i="7"/>
  <c r="Q99" i="7"/>
  <c r="P99" i="7"/>
  <c r="O99" i="7"/>
  <c r="N99" i="7"/>
  <c r="M99" i="7"/>
  <c r="L99" i="7"/>
  <c r="K99" i="7"/>
  <c r="J99" i="7"/>
  <c r="I99" i="7"/>
  <c r="H99" i="7"/>
  <c r="G99" i="7"/>
  <c r="F99" i="7"/>
  <c r="E99" i="7"/>
  <c r="D99" i="7"/>
  <c r="R98" i="7"/>
  <c r="Q98" i="7"/>
  <c r="P98" i="7"/>
  <c r="O98" i="7"/>
  <c r="N98" i="7"/>
  <c r="M98" i="7"/>
  <c r="L98" i="7"/>
  <c r="K98" i="7"/>
  <c r="J98" i="7"/>
  <c r="I98" i="7"/>
  <c r="H98" i="7"/>
  <c r="G98" i="7"/>
  <c r="F98" i="7"/>
  <c r="E98" i="7"/>
  <c r="D98" i="7"/>
  <c r="S97" i="7"/>
  <c r="T97" i="7" s="1"/>
  <c r="U97" i="7" s="1"/>
  <c r="S96" i="7"/>
  <c r="T96" i="7" s="1"/>
  <c r="U96" i="7" s="1"/>
  <c r="S95" i="7"/>
  <c r="T95" i="7" s="1"/>
  <c r="U95" i="7" s="1"/>
  <c r="S94" i="7"/>
  <c r="T94" i="7" s="1"/>
  <c r="U94" i="7" s="1"/>
  <c r="S93" i="7"/>
  <c r="T93" i="7" s="1"/>
  <c r="U93" i="7" s="1"/>
  <c r="S90" i="7"/>
  <c r="T90" i="7" s="1"/>
  <c r="U90" i="7" s="1"/>
  <c r="S89" i="7"/>
  <c r="T89" i="7" s="1"/>
  <c r="U89" i="7" s="1"/>
  <c r="S88" i="7"/>
  <c r="T88" i="7" s="1"/>
  <c r="U88" i="7" s="1"/>
  <c r="S87" i="7"/>
  <c r="T87" i="7" s="1"/>
  <c r="U87" i="7" s="1"/>
  <c r="S86" i="7"/>
  <c r="T86" i="7" s="1"/>
  <c r="U86" i="7" s="1"/>
  <c r="S85" i="7"/>
  <c r="T85" i="7" s="1"/>
  <c r="U85" i="7" s="1"/>
  <c r="S84" i="7"/>
  <c r="T84" i="7" s="1"/>
  <c r="U84" i="7" s="1"/>
  <c r="S83" i="7"/>
  <c r="T83" i="7" s="1"/>
  <c r="U83" i="7" s="1"/>
  <c r="S82" i="7"/>
  <c r="T82" i="7" s="1"/>
  <c r="U82" i="7" s="1"/>
  <c r="S81" i="7"/>
  <c r="T81" i="7" s="1"/>
  <c r="U81" i="7" s="1"/>
  <c r="S16" i="7"/>
  <c r="T16" i="7" s="1"/>
  <c r="U16" i="7" s="1"/>
  <c r="S80" i="7"/>
  <c r="T80" i="7" s="1"/>
  <c r="U80" i="7" s="1"/>
  <c r="S79" i="7"/>
  <c r="T79" i="7" s="1"/>
  <c r="U79" i="7" s="1"/>
  <c r="S78" i="7"/>
  <c r="T78" i="7" s="1"/>
  <c r="U78" i="7" s="1"/>
  <c r="S77" i="7"/>
  <c r="T77" i="7" s="1"/>
  <c r="U77" i="7" s="1"/>
  <c r="S76" i="7"/>
  <c r="T76" i="7" s="1"/>
  <c r="U76" i="7" s="1"/>
  <c r="S75" i="7"/>
  <c r="T75" i="7" s="1"/>
  <c r="U75" i="7" s="1"/>
  <c r="S74" i="7"/>
  <c r="T74" i="7" s="1"/>
  <c r="U74" i="7" s="1"/>
  <c r="S73" i="7"/>
  <c r="T73" i="7" s="1"/>
  <c r="U73" i="7" s="1"/>
  <c r="S72" i="7"/>
  <c r="T72" i="7" s="1"/>
  <c r="U72" i="7" s="1"/>
  <c r="S71" i="7"/>
  <c r="T71" i="7" s="1"/>
  <c r="U71" i="7" s="1"/>
  <c r="S70" i="7"/>
  <c r="T70" i="7" s="1"/>
  <c r="U70" i="7" s="1"/>
  <c r="S69" i="7"/>
  <c r="T69" i="7" s="1"/>
  <c r="U69" i="7" s="1"/>
  <c r="S68" i="7"/>
  <c r="T68" i="7" s="1"/>
  <c r="U68" i="7" s="1"/>
  <c r="S67" i="7"/>
  <c r="T67" i="7" s="1"/>
  <c r="U67" i="7" s="1"/>
  <c r="S66" i="7"/>
  <c r="T66" i="7" s="1"/>
  <c r="U66" i="7" s="1"/>
  <c r="S65" i="7"/>
  <c r="T65" i="7" s="1"/>
  <c r="U65" i="7" s="1"/>
  <c r="S64" i="7"/>
  <c r="T64" i="7" s="1"/>
  <c r="U64" i="7" s="1"/>
  <c r="S63" i="7"/>
  <c r="T63" i="7" s="1"/>
  <c r="U63" i="7" s="1"/>
  <c r="S62" i="7"/>
  <c r="T62" i="7" s="1"/>
  <c r="U62" i="7" s="1"/>
  <c r="S61" i="7"/>
  <c r="T61" i="7" s="1"/>
  <c r="U61" i="7" s="1"/>
  <c r="S60" i="7"/>
  <c r="T60" i="7" s="1"/>
  <c r="U60" i="7" s="1"/>
  <c r="S59" i="7"/>
  <c r="T59" i="7" s="1"/>
  <c r="U59" i="7" s="1"/>
  <c r="S58" i="7"/>
  <c r="T58" i="7" s="1"/>
  <c r="U58" i="7" s="1"/>
  <c r="S57" i="7"/>
  <c r="T57" i="7" s="1"/>
  <c r="U57" i="7" s="1"/>
  <c r="S56" i="7"/>
  <c r="T56" i="7" s="1"/>
  <c r="U56" i="7" s="1"/>
  <c r="S55" i="7"/>
  <c r="T55" i="7" s="1"/>
  <c r="U55" i="7" s="1"/>
  <c r="S54" i="7"/>
  <c r="T54" i="7" s="1"/>
  <c r="U54" i="7" s="1"/>
  <c r="S53" i="7"/>
  <c r="T53" i="7" s="1"/>
  <c r="U53" i="7" s="1"/>
  <c r="S52" i="7"/>
  <c r="T52" i="7" s="1"/>
  <c r="U52" i="7" s="1"/>
  <c r="S51" i="7"/>
  <c r="T51" i="7" s="1"/>
  <c r="U51" i="7" s="1"/>
  <c r="S50" i="7"/>
  <c r="T50" i="7" s="1"/>
  <c r="U50" i="7" s="1"/>
  <c r="S49" i="7"/>
  <c r="T49" i="7" s="1"/>
  <c r="U49" i="7" s="1"/>
  <c r="S48" i="7"/>
  <c r="T48" i="7" s="1"/>
  <c r="U48" i="7" s="1"/>
  <c r="S47" i="7"/>
  <c r="T47" i="7" s="1"/>
  <c r="U47" i="7" s="1"/>
  <c r="S46" i="7"/>
  <c r="T46" i="7" s="1"/>
  <c r="U46" i="7" s="1"/>
  <c r="S45" i="7"/>
  <c r="T45" i="7" s="1"/>
  <c r="U45" i="7" s="1"/>
  <c r="S44" i="7"/>
  <c r="T44" i="7" s="1"/>
  <c r="U44" i="7" s="1"/>
  <c r="S43" i="7"/>
  <c r="T43" i="7" s="1"/>
  <c r="U43" i="7" s="1"/>
  <c r="S42" i="7"/>
  <c r="T42" i="7" s="1"/>
  <c r="U42" i="7" s="1"/>
  <c r="S41" i="7"/>
  <c r="T41" i="7" s="1"/>
  <c r="U41" i="7" s="1"/>
  <c r="S40" i="7"/>
  <c r="T40" i="7" s="1"/>
  <c r="U40" i="7" s="1"/>
  <c r="S39" i="7"/>
  <c r="T39" i="7" s="1"/>
  <c r="U39" i="7" s="1"/>
  <c r="S38" i="7"/>
  <c r="T38" i="7" s="1"/>
  <c r="U38" i="7" s="1"/>
  <c r="S37" i="7"/>
  <c r="T37" i="7" s="1"/>
  <c r="U37" i="7" s="1"/>
  <c r="S15" i="7"/>
  <c r="T15" i="7" s="1"/>
  <c r="U15" i="7" s="1"/>
  <c r="S36" i="7"/>
  <c r="T36" i="7" s="1"/>
  <c r="U36" i="7" s="1"/>
  <c r="S35" i="7"/>
  <c r="T35" i="7" s="1"/>
  <c r="U35" i="7" s="1"/>
  <c r="S34" i="7"/>
  <c r="T34" i="7" s="1"/>
  <c r="U34" i="7" s="1"/>
  <c r="S33" i="7"/>
  <c r="T33" i="7" s="1"/>
  <c r="U33" i="7" s="1"/>
  <c r="S32" i="7"/>
  <c r="T32" i="7" s="1"/>
  <c r="U32" i="7" s="1"/>
  <c r="S31" i="7"/>
  <c r="T31" i="7" s="1"/>
  <c r="U31" i="7" s="1"/>
  <c r="S30" i="7"/>
  <c r="T30" i="7" s="1"/>
  <c r="U30" i="7" s="1"/>
  <c r="S29" i="7"/>
  <c r="T29" i="7" s="1"/>
  <c r="U29" i="7" s="1"/>
  <c r="S28" i="7"/>
  <c r="T28" i="7" s="1"/>
  <c r="U28" i="7" s="1"/>
  <c r="S27" i="7"/>
  <c r="T27" i="7" s="1"/>
  <c r="U27" i="7" s="1"/>
  <c r="S26" i="7"/>
  <c r="T26" i="7" s="1"/>
  <c r="U26" i="7" s="1"/>
  <c r="S25" i="7"/>
  <c r="T25" i="7" s="1"/>
  <c r="U25" i="7" s="1"/>
  <c r="S24" i="7"/>
  <c r="T24" i="7" s="1"/>
  <c r="U24" i="7" s="1"/>
  <c r="S23" i="7"/>
  <c r="T23" i="7" s="1"/>
  <c r="U23" i="7" s="1"/>
  <c r="S22" i="7"/>
  <c r="T22" i="7" s="1"/>
  <c r="U22" i="7" s="1"/>
  <c r="S92" i="7"/>
  <c r="T92" i="7" s="1"/>
  <c r="U92" i="7" s="1"/>
  <c r="S14" i="7"/>
  <c r="T14" i="7" s="1"/>
  <c r="U14" i="7" s="1"/>
  <c r="S21" i="7"/>
  <c r="T21" i="7" s="1"/>
  <c r="U21" i="7" s="1"/>
  <c r="S13" i="7"/>
  <c r="T13" i="7" s="1"/>
  <c r="U13" i="7" s="1"/>
  <c r="S91" i="7"/>
  <c r="T91" i="7" s="1"/>
  <c r="U91" i="7" s="1"/>
  <c r="S20" i="7"/>
  <c r="T20" i="7" s="1"/>
  <c r="U20" i="7" s="1"/>
  <c r="S19" i="7"/>
  <c r="T19" i="7" s="1"/>
  <c r="U19" i="7" s="1"/>
  <c r="S18" i="7"/>
  <c r="T18" i="7" s="1"/>
  <c r="U18" i="7" s="1"/>
  <c r="S17" i="7"/>
  <c r="T17" i="7" s="1"/>
  <c r="U17" i="7" s="1"/>
</calcChain>
</file>

<file path=xl/sharedStrings.xml><?xml version="1.0" encoding="utf-8"?>
<sst xmlns="http://schemas.openxmlformats.org/spreadsheetml/2006/main" count="1015" uniqueCount="370">
  <si>
    <r>
      <rPr>
        <b/>
        <sz val="6"/>
        <rFont val="Times New Roman"/>
        <family val="1"/>
      </rPr>
      <t>NAME OF THE STUDENT</t>
    </r>
  </si>
  <si>
    <t>9.45 to 10.35</t>
  </si>
  <si>
    <t>10.45 to 11.35</t>
  </si>
  <si>
    <t>1.45 to 2.35</t>
  </si>
  <si>
    <t>11.45 to 12.35</t>
  </si>
  <si>
    <t>2.45 to 3.35</t>
  </si>
  <si>
    <t>SCHOOL OF COMPUTING</t>
  </si>
  <si>
    <t>No.of Credits: 1</t>
  </si>
  <si>
    <t>Total</t>
  </si>
  <si>
    <t>Attendance %</t>
  </si>
  <si>
    <t>DEPARTMENT OF COMPUTER SCIENCE AND ENGINEERING
VTU UGR21 B.TECH – CSE</t>
  </si>
  <si>
    <t xml:space="preserve">               IHL Coordinator                                                              HoD-CSE                                                       Dean-SoC</t>
  </si>
  <si>
    <t xml:space="preserve">No of Present: </t>
  </si>
  <si>
    <t xml:space="preserve">No of Absent:    </t>
  </si>
  <si>
    <t>P</t>
  </si>
  <si>
    <t>A</t>
  </si>
  <si>
    <r>
      <rPr>
        <b/>
        <sz val="12"/>
        <rFont val="Times New Roman"/>
        <family val="1"/>
      </rPr>
      <t>Total No.of Hours:</t>
    </r>
    <r>
      <rPr>
        <sz val="12"/>
        <rFont val="Times New Roman"/>
        <family val="1"/>
      </rPr>
      <t xml:space="preserve"> </t>
    </r>
    <r>
      <rPr>
        <b/>
        <sz val="12"/>
        <rFont val="Times New Roman"/>
        <family val="1"/>
      </rPr>
      <t>15</t>
    </r>
  </si>
  <si>
    <t>STUDENT ID(VTU)</t>
  </si>
  <si>
    <t>EG- Eligible, NE- No Eligible, CN - Elegible subjec to the approvl of condonaion</t>
  </si>
  <si>
    <t>S.No</t>
  </si>
  <si>
    <t>Att Elgibility</t>
  </si>
  <si>
    <t xml:space="preserve">IV-year Bucket : </t>
  </si>
  <si>
    <t>Summer2026-2027
IHL ATTENDANCE SHEET</t>
  </si>
  <si>
    <t>VTU No.</t>
  </si>
  <si>
    <t>NAME OF THE STUDENT</t>
  </si>
  <si>
    <t>Summer  Semester 2026-2027  IHL ATTENDANCE SHEET</t>
  </si>
  <si>
    <t>unenroll</t>
  </si>
  <si>
    <t>Unenroll</t>
  </si>
  <si>
    <t>Course Code and Title : 10215CS176 - Vector databases and Retrivel Augmented Generation(RAG)</t>
  </si>
  <si>
    <t>Expert Name :</t>
  </si>
  <si>
    <t>Duration of the Course: 09.09.2026 to 11.09.2026</t>
  </si>
  <si>
    <t>09.09.2026</t>
  </si>
  <si>
    <t>10.09.2026</t>
  </si>
  <si>
    <t>11.09.2026</t>
  </si>
  <si>
    <t>VTU24321</t>
  </si>
  <si>
    <t>DEEPU KUMAR</t>
  </si>
  <si>
    <t>VTU24448</t>
  </si>
  <si>
    <t>MANISH KUMAR</t>
  </si>
  <si>
    <t>VTU24485</t>
  </si>
  <si>
    <t>KALAPALA BHAVYA SRI</t>
  </si>
  <si>
    <t>VTU24489</t>
  </si>
  <si>
    <t>BELLAPU TEJA VENKATA PAVAN</t>
  </si>
  <si>
    <t>VTU24534</t>
  </si>
  <si>
    <t>BORRA VISWANATH</t>
  </si>
  <si>
    <t>VTU24674</t>
  </si>
  <si>
    <t>SYED JAFFAR HUSSAIN</t>
  </si>
  <si>
    <t>VTU24683</t>
  </si>
  <si>
    <t>KURUBA RAKESH KUMAR</t>
  </si>
  <si>
    <t>VTU24814</t>
  </si>
  <si>
    <t>SANTHAPURI PREETHI</t>
  </si>
  <si>
    <t>VTU24817</t>
  </si>
  <si>
    <t>SAGALA PAVAN KUMAR</t>
  </si>
  <si>
    <t>VTU24838</t>
  </si>
  <si>
    <t>VUTUKURI TULASI RAM</t>
  </si>
  <si>
    <t>VTU24871</t>
  </si>
  <si>
    <t>KANDULA DURGA DHEERAJ</t>
  </si>
  <si>
    <t>VTU24881</t>
  </si>
  <si>
    <t>BHUMIREDDY CHAITHANYA LAKSHMI</t>
  </si>
  <si>
    <t>VTU24920</t>
  </si>
  <si>
    <t>POTHURAI MANJUNATH REDDY</t>
  </si>
  <si>
    <t>VTU24928</t>
  </si>
  <si>
    <t>MADALA NIKHIL</t>
  </si>
  <si>
    <t>VTU24943</t>
  </si>
  <si>
    <t>TATA VENKATA PAVAN KALYAN</t>
  </si>
  <si>
    <t>VTU25234</t>
  </si>
  <si>
    <t>MOTAKATLA LEELA VARDHINI</t>
  </si>
  <si>
    <t>VTU25235</t>
  </si>
  <si>
    <t>THTAVARTHI KEERTHANA</t>
  </si>
  <si>
    <t>VTU25252</t>
  </si>
  <si>
    <t>NAMBURU LAVANYA</t>
  </si>
  <si>
    <t>VTU25274</t>
  </si>
  <si>
    <t>MUNAGALA SURYA</t>
  </si>
  <si>
    <t>VTU25309</t>
  </si>
  <si>
    <t>YEMINENI BALA SAI MANIKANTA</t>
  </si>
  <si>
    <t>VTU25409</t>
  </si>
  <si>
    <t>PANTHINI SHRINI</t>
  </si>
  <si>
    <t>VTU25520</t>
  </si>
  <si>
    <t>PANNALA KARTHIKEYAN REDDY</t>
  </si>
  <si>
    <t>VTU25577</t>
  </si>
  <si>
    <t>ATHIKAM MANASA</t>
  </si>
  <si>
    <t>VTU25587</t>
  </si>
  <si>
    <t>PENDELA THARUN</t>
  </si>
  <si>
    <t>VTU25677</t>
  </si>
  <si>
    <t>RAMISETTY THARUN</t>
  </si>
  <si>
    <t>VTU25682</t>
  </si>
  <si>
    <t>MELLEMPUDI KRISHNA SAI</t>
  </si>
  <si>
    <t>VTU25699</t>
  </si>
  <si>
    <t>CHEERLA SAI DEEKSHITHA</t>
  </si>
  <si>
    <t>VTU25709</t>
  </si>
  <si>
    <t>GUNTREDDY VEDAVYASA NAIDU</t>
  </si>
  <si>
    <t>VTU25728</t>
  </si>
  <si>
    <t>THOGARU PRANEETHA</t>
  </si>
  <si>
    <t>VTU25760</t>
  </si>
  <si>
    <t>ADIMULAM MANJUNATH</t>
  </si>
  <si>
    <t>VTU25866</t>
  </si>
  <si>
    <t>KANAGALA TANUJA</t>
  </si>
  <si>
    <t>VTU25895</t>
  </si>
  <si>
    <t>CHANDU SASI HARI TEJA</t>
  </si>
  <si>
    <t>VTU25907</t>
  </si>
  <si>
    <t>DOMMARAJU HEMADRI VARMA</t>
  </si>
  <si>
    <t>VTU25910</t>
  </si>
  <si>
    <t>GOTTAM ARCHANA</t>
  </si>
  <si>
    <t>VTU25918</t>
  </si>
  <si>
    <t>HARISH T</t>
  </si>
  <si>
    <t>VTU25924</t>
  </si>
  <si>
    <t>DIRSIMILLI VAMSI TRINADH</t>
  </si>
  <si>
    <t>VTU25936</t>
  </si>
  <si>
    <t>BYRISETTY JAYASREE</t>
  </si>
  <si>
    <t>VTU25938</t>
  </si>
  <si>
    <t>C RISHITHA</t>
  </si>
  <si>
    <t>VTU25949</t>
  </si>
  <si>
    <t>P USHA SRI DATTA</t>
  </si>
  <si>
    <t>VTU25973</t>
  </si>
  <si>
    <t>POTHURU AKSHAYA</t>
  </si>
  <si>
    <t>VTU25978</t>
  </si>
  <si>
    <t>GOGULA MAHESH</t>
  </si>
  <si>
    <t>VTU25985</t>
  </si>
  <si>
    <t>OBULAREDDY HARSHITHA</t>
  </si>
  <si>
    <t>VTU25989</t>
  </si>
  <si>
    <t>TATIKONDA VENKATA PAVANI</t>
  </si>
  <si>
    <t>VTU26036</t>
  </si>
  <si>
    <t>KARTHIK S</t>
  </si>
  <si>
    <t>VTU26073</t>
  </si>
  <si>
    <t>THANNERU VENKATA SESHA GAYATHRI BHAVANI</t>
  </si>
  <si>
    <t>VTU26111</t>
  </si>
  <si>
    <t>ARAGONDRAM GANESH KUMAR</t>
  </si>
  <si>
    <t>VTU26116</t>
  </si>
  <si>
    <t>CHEBROLU SWAPNA</t>
  </si>
  <si>
    <t>VTU26250</t>
  </si>
  <si>
    <t>NEMALLAPUDI MOULI VARDHAN REDDY</t>
  </si>
  <si>
    <t>VTU26257</t>
  </si>
  <si>
    <t>S SAIDATH REDDY</t>
  </si>
  <si>
    <t>VTU26262</t>
  </si>
  <si>
    <t>KOTA CHAITANYA BHARGAV</t>
  </si>
  <si>
    <t>VTU26319</t>
  </si>
  <si>
    <t>PRATHYUSH MISHRA</t>
  </si>
  <si>
    <t>VTU26404</t>
  </si>
  <si>
    <t>DUDEKULA SUBHAN</t>
  </si>
  <si>
    <t>VTU26419</t>
  </si>
  <si>
    <t>PACHA SATYANARAYANA</t>
  </si>
  <si>
    <t>VTU26460</t>
  </si>
  <si>
    <t>PATHAN FUZEL KHAN</t>
  </si>
  <si>
    <t>VTU26490</t>
  </si>
  <si>
    <t>KONDIPATI PALLAVI</t>
  </si>
  <si>
    <t>VTU26545</t>
  </si>
  <si>
    <t>LINGISETTI VINAY KOUSHIK</t>
  </si>
  <si>
    <t>VTU26556</t>
  </si>
  <si>
    <t>VUNNAM CHAKRADHAR</t>
  </si>
  <si>
    <t>VTU26578</t>
  </si>
  <si>
    <t>THATIPARTHI PARDHA SARADHI</t>
  </si>
  <si>
    <t>VTU26596</t>
  </si>
  <si>
    <t>SHAIK AYESHA</t>
  </si>
  <si>
    <t>VTU26649</t>
  </si>
  <si>
    <t>VENAKANDLA SUDHEER KUMAR</t>
  </si>
  <si>
    <t>VTU26693</t>
  </si>
  <si>
    <t>GUNIMINI KARTHEEJA</t>
  </si>
  <si>
    <t>VTU27062</t>
  </si>
  <si>
    <t>KORAKOPPULA ANURUTHVIK GOUD</t>
  </si>
  <si>
    <t>VTU27118</t>
  </si>
  <si>
    <t>BURRA REVANTH REDDY</t>
  </si>
  <si>
    <t>VTU27264</t>
  </si>
  <si>
    <t>CHEGUDI JEEVAN SAGAR</t>
  </si>
  <si>
    <t>VTU27276</t>
  </si>
  <si>
    <t>MALIGI SRIVIDYA</t>
  </si>
  <si>
    <t>VTU29634</t>
  </si>
  <si>
    <t>PALAGIRI GURU CHANDRAYUDU</t>
  </si>
  <si>
    <t>VTU29647</t>
  </si>
  <si>
    <t>KONA PAVAN KUMAR</t>
  </si>
  <si>
    <t>VTU29659</t>
  </si>
  <si>
    <t>ALLA MANI KUMAR REDDY</t>
  </si>
  <si>
    <t>VTU29684</t>
  </si>
  <si>
    <t>KODURU ANVESH</t>
  </si>
  <si>
    <t>VTU29690</t>
  </si>
  <si>
    <t>MULLA SOHEB</t>
  </si>
  <si>
    <t>VTU29791</t>
  </si>
  <si>
    <t>PERABATHULA OMKAR</t>
  </si>
  <si>
    <t>VTU29861</t>
  </si>
  <si>
    <t>CHINTHAKUNTA SASIDHAR REDDY</t>
  </si>
  <si>
    <t>VTU30309</t>
  </si>
  <si>
    <t>TALLURI HEMACHANDRA</t>
  </si>
  <si>
    <t>VTU30391</t>
  </si>
  <si>
    <t>SRIGHAKOLLAPU NAGA VENKATA PADMINI DURGA</t>
  </si>
  <si>
    <t>VTU30414</t>
  </si>
  <si>
    <t>CHALLA SHYAM REDDY</t>
  </si>
  <si>
    <t>VTU30517</t>
  </si>
  <si>
    <t>CHINNA NAGALLA LAKSHMI PRASANNA</t>
  </si>
  <si>
    <t>VTU30518</t>
  </si>
  <si>
    <t>NARREDDULA JAGAN MOHAN REDDY</t>
  </si>
  <si>
    <t>VTU30519</t>
  </si>
  <si>
    <t>DANDUBOYINA SUDHEER</t>
  </si>
  <si>
    <t>VTU30608</t>
  </si>
  <si>
    <t>KARRE SAI KRISHNA</t>
  </si>
  <si>
    <t>VTU30693</t>
  </si>
  <si>
    <t>MOHAMMAD KASHIF RAZA BHAT</t>
  </si>
  <si>
    <t>Unenroll reques</t>
  </si>
  <si>
    <t>Course Code and Title : 10215CS176 - Vector Databases and Retrivel Augmented Generation(RAG)</t>
  </si>
  <si>
    <t>VTU26660</t>
  </si>
  <si>
    <t>unenrolled</t>
  </si>
  <si>
    <t xml:space="preserve">didn't </t>
  </si>
  <si>
    <t>attend</t>
  </si>
  <si>
    <t>AVULA NITHIN KRISHNA</t>
  </si>
  <si>
    <t>Project Title</t>
  </si>
  <si>
    <t>Project No</t>
  </si>
  <si>
    <t>Course Code and Title : 10215CS173 - Large Language Models (LLMs): Fine-Tuning, RAG, and Agentic AI LLMs in Edge Computing</t>
  </si>
  <si>
    <t>Expert Name : Suresh.S, AI &amp; Data Architect, Neorain , Technology Pvt Ltd, Chennai</t>
  </si>
  <si>
    <t>VTU27558</t>
  </si>
  <si>
    <t>NALAM MANIKANTA</t>
  </si>
  <si>
    <t>VTU27567</t>
  </si>
  <si>
    <t>PINDIPOLU LAXMI NARASIMHA</t>
  </si>
  <si>
    <t>VTU27577</t>
  </si>
  <si>
    <t>GURIJALA MEGHANA</t>
  </si>
  <si>
    <t>VTU27581</t>
  </si>
  <si>
    <t>YELAMASETTY VENU MADHAV</t>
  </si>
  <si>
    <t>VTU27632</t>
  </si>
  <si>
    <t>EDUMUDI NANDINI CHOWDARY</t>
  </si>
  <si>
    <t>VTU27674</t>
  </si>
  <si>
    <t>DUMPA BHAVANA</t>
  </si>
  <si>
    <t>VTU27808</t>
  </si>
  <si>
    <t>DEEVI BHARGAVA RAMA VIJAYA MARUTHI</t>
  </si>
  <si>
    <t>VTU27942</t>
  </si>
  <si>
    <t>AKULA BARGAVA SAI RATNAGI</t>
  </si>
  <si>
    <t>VTU28081</t>
  </si>
  <si>
    <t>BATHULA KESAVA ACHYUTH</t>
  </si>
  <si>
    <t>VTU28159</t>
  </si>
  <si>
    <t>GORREPATI MANVITH GUNA</t>
  </si>
  <si>
    <t>VTU28252</t>
  </si>
  <si>
    <t>KAJA YASWANTH</t>
  </si>
  <si>
    <t>VTU28290</t>
  </si>
  <si>
    <t>SETTI NOKESH SRI MANIKANTA</t>
  </si>
  <si>
    <t>VTU28319</t>
  </si>
  <si>
    <t>SIDDARTHA KAMA</t>
  </si>
  <si>
    <t>VTU28334</t>
  </si>
  <si>
    <t>PALURU VENKATA NARAYANA</t>
  </si>
  <si>
    <t>VTU28428</t>
  </si>
  <si>
    <t>KUNTE SHASHIDHAR RAO</t>
  </si>
  <si>
    <t>VTU28429</t>
  </si>
  <si>
    <t>BHADRI DHARANESWAR REDDY</t>
  </si>
  <si>
    <t>VTU28452</t>
  </si>
  <si>
    <t>MOHAMMAD FARHAAN</t>
  </si>
  <si>
    <t>VTU28497</t>
  </si>
  <si>
    <t>DIVVELA TEJAS MANIKANTA</t>
  </si>
  <si>
    <t>VTU28505</t>
  </si>
  <si>
    <t>VIBUSHA</t>
  </si>
  <si>
    <t>VTU28514</t>
  </si>
  <si>
    <t>PULAVARTHI VENKATA MEHAR CHAITANYA</t>
  </si>
  <si>
    <t>VTU28542</t>
  </si>
  <si>
    <t>CHITTA ABHINAY</t>
  </si>
  <si>
    <t>VTU28611</t>
  </si>
  <si>
    <t>PARASA JITENDRAKUMAR</t>
  </si>
  <si>
    <t>VTU28646</t>
  </si>
  <si>
    <t>ALAHARI AADITHYA</t>
  </si>
  <si>
    <t>VTU28667</t>
  </si>
  <si>
    <t>RONTE VINUSHA</t>
  </si>
  <si>
    <t>VTU28690</t>
  </si>
  <si>
    <t>CHINTHALAPALLY BHANU PRASAD REDDY</t>
  </si>
  <si>
    <t>VTU28753</t>
  </si>
  <si>
    <t>R TARUN</t>
  </si>
  <si>
    <t>VTU28759</t>
  </si>
  <si>
    <t>VELAGA BHUVANESH</t>
  </si>
  <si>
    <t>VTU28806</t>
  </si>
  <si>
    <t>MALE OMKAR GOUD</t>
  </si>
  <si>
    <t>VTU28817</t>
  </si>
  <si>
    <t>DWARASALA INDU REDDY</t>
  </si>
  <si>
    <t>VTU28844</t>
  </si>
  <si>
    <t>RAMSETTY SREEVASTHAV</t>
  </si>
  <si>
    <t>VTU28895</t>
  </si>
  <si>
    <t>DHALAVAYI YAMINI</t>
  </si>
  <si>
    <t>VTU28896</t>
  </si>
  <si>
    <t>SATTI PUNEETH SRI HANUMAN MAHESH REDDY</t>
  </si>
  <si>
    <t>VTU28923</t>
  </si>
  <si>
    <t>JASHTI RADESH</t>
  </si>
  <si>
    <t>VTU28924</t>
  </si>
  <si>
    <t>SHAIK SHAHID</t>
  </si>
  <si>
    <t>VTU28948</t>
  </si>
  <si>
    <t>GOPALDAS SUDHEEP</t>
  </si>
  <si>
    <t>VTU28960</t>
  </si>
  <si>
    <t>KOTHURI VENKATA THALPA SAI</t>
  </si>
  <si>
    <t>VTU29044</t>
  </si>
  <si>
    <t>TALLAPANENI SHANMUKA SIVA RAM</t>
  </si>
  <si>
    <t>VTU29084</t>
  </si>
  <si>
    <t>BATHULA MAHESH BABU</t>
  </si>
  <si>
    <t>VTU29109</t>
  </si>
  <si>
    <t>GOLLA KAMALESH</t>
  </si>
  <si>
    <t>VTU29168</t>
  </si>
  <si>
    <t>PANDURI SAI NAVA TEJA</t>
  </si>
  <si>
    <t>VTU29180</t>
  </si>
  <si>
    <t>REKKALA VENKATA KARTHIK</t>
  </si>
  <si>
    <t>VTU29230</t>
  </si>
  <si>
    <t>DHARMULA YASHVANTH KUMAR</t>
  </si>
  <si>
    <t>VTU29270</t>
  </si>
  <si>
    <t>CHINTA SAI SUPRIYA</t>
  </si>
  <si>
    <t>VTU29284</t>
  </si>
  <si>
    <t>BONTHA NAGALAKSHMI</t>
  </si>
  <si>
    <t>VTU29292</t>
  </si>
  <si>
    <t>PENTA NAVANEETH SAI TEJA</t>
  </si>
  <si>
    <t>VTU29304</t>
  </si>
  <si>
    <t>TALAMANCHI SAI SUJITH</t>
  </si>
  <si>
    <t>VTU29310</t>
  </si>
  <si>
    <t>CHAPALA VISHAL</t>
  </si>
  <si>
    <t>VTU29315</t>
  </si>
  <si>
    <t>TADIKONDA LOKESH</t>
  </si>
  <si>
    <t>VTU29334</t>
  </si>
  <si>
    <t>GADDAM MANASWINI</t>
  </si>
  <si>
    <t>VTU29364</t>
  </si>
  <si>
    <t>GUDLA YASWANTH</t>
  </si>
  <si>
    <t>VTU29415</t>
  </si>
  <si>
    <t>VEMURI VINEETH KUMAR</t>
  </si>
  <si>
    <t>VTU29420</t>
  </si>
  <si>
    <t>SINGARAPU SIDDU</t>
  </si>
  <si>
    <t>VTU29426</t>
  </si>
  <si>
    <t>DAMAVARAPU POORNASAI</t>
  </si>
  <si>
    <t>VTU29435</t>
  </si>
  <si>
    <t>VATSYAVAYI CHAITANYA RAJU</t>
  </si>
  <si>
    <t>VTU29444</t>
  </si>
  <si>
    <t>KALLAGUNTA VASU</t>
  </si>
  <si>
    <t>VTU29508</t>
  </si>
  <si>
    <t>DARSI LOKESH KUMAR</t>
  </si>
  <si>
    <t>VTU29537</t>
  </si>
  <si>
    <t>BANDARU VINOD REDDY</t>
  </si>
  <si>
    <t>VTU29576</t>
  </si>
  <si>
    <t>MADDISETTY MANOJ KUMAR</t>
  </si>
  <si>
    <t>VTU29613</t>
  </si>
  <si>
    <t>CHENNAMSETTY SHALIKA SREE</t>
  </si>
  <si>
    <t>VTU29666</t>
  </si>
  <si>
    <t>CHALLA VIJAYA LAKSHMI</t>
  </si>
  <si>
    <t>VTU29789</t>
  </si>
  <si>
    <t>LANKA CHADWIK</t>
  </si>
  <si>
    <t>VTU29798</t>
  </si>
  <si>
    <t>G S MOKSHAGNA</t>
  </si>
  <si>
    <t>VTU29811</t>
  </si>
  <si>
    <t>GANNE PALLAVI</t>
  </si>
  <si>
    <t>VTU29870</t>
  </si>
  <si>
    <t>MARRI MANIVARDHAN</t>
  </si>
  <si>
    <t>VTU29874</t>
  </si>
  <si>
    <t>MARRI KAMALNATH</t>
  </si>
  <si>
    <t>VTU29986</t>
  </si>
  <si>
    <t>MUDUNURI SIVAIAH</t>
  </si>
  <si>
    <t>VTU29998</t>
  </si>
  <si>
    <t>SHAIK SOHEL</t>
  </si>
  <si>
    <t>VTU30055</t>
  </si>
  <si>
    <t>KOLASANI PAAVAN SAIE</t>
  </si>
  <si>
    <t>VTU30065</t>
  </si>
  <si>
    <t>NALLURI ABHINASH</t>
  </si>
  <si>
    <t>VTU30141</t>
  </si>
  <si>
    <t>NAKKA POOJA</t>
  </si>
  <si>
    <t>VTU30176</t>
  </si>
  <si>
    <t>PEDAPATRUNI RAVI KIRAN</t>
  </si>
  <si>
    <t>VTU30201</t>
  </si>
  <si>
    <t>SHAIK KHASIM BEE</t>
  </si>
  <si>
    <t>VTU30271</t>
  </si>
  <si>
    <t>YENDURI DINESH SAI</t>
  </si>
  <si>
    <t>VTU30293</t>
  </si>
  <si>
    <t>MARIYADA VEERA THANUJA</t>
  </si>
  <si>
    <t>VTU30294</t>
  </si>
  <si>
    <t>TABBIBBU VEERA SAI DURGA SREEHITHA</t>
  </si>
  <si>
    <t>VTU30364</t>
  </si>
  <si>
    <t>JONNALAGADDA MANI SANDEEP</t>
  </si>
  <si>
    <t>VTU30470</t>
  </si>
  <si>
    <t>GUVVALA SRI VYSHNAVI</t>
  </si>
  <si>
    <t>VTU30483</t>
  </si>
  <si>
    <t>CHILUMURI VENKATA DHANUSH REDDY</t>
  </si>
  <si>
    <t>VTU30496</t>
  </si>
  <si>
    <t>KANEKANTI YASWANTH REDDY</t>
  </si>
  <si>
    <t>VTU30628</t>
  </si>
  <si>
    <t>MANDADAPU SHRAVAN</t>
  </si>
  <si>
    <t>Duration of the Course: 28.09.2026 to 30.09.2026</t>
  </si>
  <si>
    <t>S SIDDU</t>
  </si>
  <si>
    <t>V CHAITANYA RAJU</t>
  </si>
  <si>
    <t>VEHICLE BREAKDOWN ASSISTANT</t>
  </si>
  <si>
    <t xml:space="preserve">                                    VEHICLE BREAKDOWN ASSISTANT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</si>
</sst>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>
    <font>
      <sz val="10"/>
      <color rgb="FF000000"/>
      <name val="Times New Roman"/>
      <charset val="204"/>
    </font>
    <font>
      <b/>
      <sz val="7"/>
      <name val="Times New Roman"/>
      <family val="1"/>
    </font>
    <font>
      <b/>
      <sz val="6"/>
      <name val="Times New Roman"/>
      <family val="1"/>
    </font>
    <font>
      <sz val="12"/>
      <color rgb="FF000000"/>
      <name val="Times New Roman"/>
      <family val="2"/>
    </font>
    <font>
      <sz val="12"/>
      <color rgb="FF434343"/>
      <name val="Times New Roman"/>
      <family val="2"/>
    </font>
    <font>
      <sz val="12"/>
      <name val="Times New Roman"/>
      <family val="2"/>
    </font>
    <font>
      <sz val="12"/>
      <color rgb="FF000000"/>
      <name val="Times New Roman"/>
      <family val="1"/>
    </font>
    <font>
      <b/>
      <sz val="10"/>
      <name val="Times New Roman"/>
      <family val="1"/>
    </font>
    <font>
      <b/>
      <sz val="10"/>
      <color rgb="FF000000"/>
      <name val="Times New Roman"/>
      <family val="2"/>
    </font>
    <font>
      <b/>
      <sz val="12"/>
      <name val="Times New Roman"/>
      <family val="1"/>
    </font>
    <font>
      <b/>
      <sz val="11"/>
      <name val="Times New Roman"/>
      <family val="1"/>
    </font>
    <font>
      <sz val="12"/>
      <name val="Times New Roman"/>
      <family val="1"/>
    </font>
    <font>
      <sz val="10"/>
      <color rgb="FF000000"/>
      <name val="Arial MT"/>
      <family val="2"/>
    </font>
    <font>
      <b/>
      <sz val="12"/>
      <color rgb="FF000000"/>
      <name val="&quot;Times New Roman&quot;"/>
    </font>
    <font>
      <b/>
      <sz val="12"/>
      <color rgb="FF000000"/>
      <name val="Times New Roman"/>
      <family val="1"/>
    </font>
    <font>
      <sz val="10"/>
      <name val="Times New Roman"/>
      <family val="1"/>
    </font>
    <font>
      <sz val="11"/>
      <color rgb="FF000000"/>
      <name val="Times New Roman"/>
      <family val="1"/>
    </font>
    <font>
      <sz val="10"/>
      <color rgb="FF000000"/>
      <name val="Times New Roman"/>
      <family val="1"/>
    </font>
    <font>
      <sz val="11"/>
      <name val="Times New Roman"/>
      <family val="1"/>
    </font>
    <font>
      <sz val="10"/>
      <color rgb="FF330099"/>
      <name val="Times New Roman"/>
      <family val="1"/>
    </font>
    <font>
      <sz val="11"/>
      <color rgb="FF434343"/>
      <name val="Times New Roman"/>
      <family val="1"/>
    </font>
    <font>
      <b/>
      <sz val="10"/>
      <name val="Times New Roman"/>
      <family val="2"/>
    </font>
    <font>
      <sz val="10"/>
      <name val="Times New Roman"/>
      <family val="2"/>
    </font>
    <font>
      <sz val="10"/>
      <color rgb="FF000000"/>
      <name val="Calibri"/>
      <family val="2"/>
      <scheme val="minor"/>
    </font>
    <font>
      <strike/>
      <sz val="12"/>
      <color rgb="FF000000"/>
      <name val="Times New Roman"/>
      <family val="1"/>
    </font>
    <font>
      <sz val="10"/>
      <name val="Times New Roman"/>
      <family val="1"/>
    </font>
    <font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7F9FA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7F9FA"/>
        <bgColor indexed="64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23" fillId="0" borderId="0"/>
    <xf numFmtId="0" fontId="23" fillId="0" borderId="0"/>
  </cellStyleXfs>
  <cellXfs count="167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wrapText="1"/>
    </xf>
    <xf numFmtId="0" fontId="0" fillId="0" borderId="2" xfId="0" applyBorder="1" applyAlignment="1">
      <alignment horizontal="left" wrapText="1"/>
    </xf>
    <xf numFmtId="1" fontId="3" fillId="0" borderId="2" xfId="0" applyNumberFormat="1" applyFont="1" applyBorder="1" applyAlignment="1">
      <alignment horizontal="center" vertical="top" shrinkToFit="1"/>
    </xf>
    <xf numFmtId="1" fontId="6" fillId="0" borderId="2" xfId="0" applyNumberFormat="1" applyFont="1" applyBorder="1" applyAlignment="1">
      <alignment horizontal="center" vertical="top" shrinkToFit="1"/>
    </xf>
    <xf numFmtId="1" fontId="6" fillId="0" borderId="0" xfId="0" applyNumberFormat="1" applyFont="1" applyAlignment="1">
      <alignment horizontal="center" vertical="top" shrinkToFit="1"/>
    </xf>
    <xf numFmtId="0" fontId="6" fillId="0" borderId="0" xfId="0" applyFont="1" applyAlignment="1">
      <alignment horizontal="left" vertical="top"/>
    </xf>
    <xf numFmtId="0" fontId="11" fillId="0" borderId="0" xfId="0" applyFont="1" applyAlignment="1">
      <alignment vertical="top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6" fillId="0" borderId="0" xfId="0" applyFont="1" applyAlignment="1">
      <alignment vertical="top" wrapText="1"/>
    </xf>
    <xf numFmtId="0" fontId="6" fillId="0" borderId="0" xfId="0" applyFont="1" applyAlignment="1">
      <alignment horizontal="left" wrapText="1"/>
    </xf>
    <xf numFmtId="0" fontId="9" fillId="0" borderId="0" xfId="0" applyFont="1" applyAlignment="1">
      <alignment vertical="top" wrapText="1"/>
    </xf>
    <xf numFmtId="1" fontId="6" fillId="0" borderId="1" xfId="0" applyNumberFormat="1" applyFont="1" applyBorder="1" applyAlignment="1">
      <alignment horizontal="center" vertical="top" shrinkToFit="1"/>
    </xf>
    <xf numFmtId="1" fontId="8" fillId="0" borderId="4" xfId="0" applyNumberFormat="1" applyFont="1" applyBorder="1" applyAlignment="1">
      <alignment horizontal="center" vertical="top" shrinkToFit="1"/>
    </xf>
    <xf numFmtId="1" fontId="12" fillId="0" borderId="4" xfId="0" applyNumberFormat="1" applyFont="1" applyBorder="1" applyAlignment="1">
      <alignment horizontal="center" vertical="top" shrinkToFit="1"/>
    </xf>
    <xf numFmtId="0" fontId="6" fillId="3" borderId="1" xfId="0" applyFont="1" applyFill="1" applyBorder="1" applyAlignment="1">
      <alignment horizontal="left" vertical="center" wrapText="1"/>
    </xf>
    <xf numFmtId="0" fontId="6" fillId="3" borderId="2" xfId="0" applyFont="1" applyFill="1" applyBorder="1" applyAlignment="1">
      <alignment horizontal="left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9" fillId="0" borderId="10" xfId="0" applyFont="1" applyBorder="1" applyAlignment="1">
      <alignment vertical="top" wrapText="1"/>
    </xf>
    <xf numFmtId="0" fontId="9" fillId="0" borderId="10" xfId="0" applyFont="1" applyBorder="1" applyAlignment="1">
      <alignment vertical="top"/>
    </xf>
    <xf numFmtId="0" fontId="6" fillId="4" borderId="2" xfId="0" applyFont="1" applyFill="1" applyBorder="1" applyAlignment="1">
      <alignment horizontal="left" vertical="center" wrapText="1"/>
    </xf>
    <xf numFmtId="0" fontId="6" fillId="4" borderId="3" xfId="0" applyFont="1" applyFill="1" applyBorder="1" applyAlignment="1">
      <alignment horizontal="left" vertical="center" wrapText="1"/>
    </xf>
    <xf numFmtId="1" fontId="6" fillId="4" borderId="4" xfId="0" applyNumberFormat="1" applyFont="1" applyFill="1" applyBorder="1" applyAlignment="1">
      <alignment horizontal="center" vertical="top" shrinkToFit="1"/>
    </xf>
    <xf numFmtId="0" fontId="0" fillId="0" borderId="11" xfId="0" applyBorder="1" applyAlignment="1">
      <alignment horizontal="left" wrapText="1"/>
    </xf>
    <xf numFmtId="0" fontId="0" fillId="0" borderId="4" xfId="0" applyBorder="1" applyAlignment="1">
      <alignment horizontal="left" wrapText="1"/>
    </xf>
    <xf numFmtId="0" fontId="0" fillId="0" borderId="13" xfId="0" applyBorder="1" applyAlignment="1">
      <alignment horizontal="left" wrapText="1"/>
    </xf>
    <xf numFmtId="1" fontId="3" fillId="0" borderId="3" xfId="0" applyNumberFormat="1" applyFont="1" applyBorder="1" applyAlignment="1">
      <alignment horizontal="center" vertical="top" shrinkToFit="1"/>
    </xf>
    <xf numFmtId="0" fontId="6" fillId="3" borderId="3" xfId="0" applyFont="1" applyFill="1" applyBorder="1" applyAlignment="1">
      <alignment horizontal="left" vertical="center" wrapText="1"/>
    </xf>
    <xf numFmtId="0" fontId="0" fillId="0" borderId="15" xfId="0" applyBorder="1" applyAlignment="1">
      <alignment horizontal="left" wrapText="1"/>
    </xf>
    <xf numFmtId="0" fontId="0" fillId="2" borderId="4" xfId="0" applyFill="1" applyBorder="1" applyAlignment="1">
      <alignment horizontal="left" wrapText="1"/>
    </xf>
    <xf numFmtId="0" fontId="14" fillId="2" borderId="4" xfId="0" applyFont="1" applyFill="1" applyBorder="1" applyAlignment="1">
      <alignment horizontal="right" wrapText="1"/>
    </xf>
    <xf numFmtId="0" fontId="9" fillId="0" borderId="4" xfId="0" applyFont="1" applyBorder="1" applyAlignment="1">
      <alignment horizontal="right" vertical="top" wrapText="1"/>
    </xf>
    <xf numFmtId="0" fontId="15" fillId="0" borderId="0" xfId="0" applyFont="1" applyAlignment="1">
      <alignment horizontal="left" vertical="top"/>
    </xf>
    <xf numFmtId="0" fontId="11" fillId="0" borderId="0" xfId="0" applyFont="1" applyAlignment="1">
      <alignment horizontal="left" vertical="top"/>
    </xf>
    <xf numFmtId="0" fontId="15" fillId="0" borderId="0" xfId="0" applyFont="1"/>
    <xf numFmtId="0" fontId="7" fillId="4" borderId="4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left" vertical="center" wrapText="1"/>
    </xf>
    <xf numFmtId="0" fontId="6" fillId="4" borderId="4" xfId="0" applyFont="1" applyFill="1" applyBorder="1" applyAlignment="1">
      <alignment horizontal="left" vertical="center" wrapText="1"/>
    </xf>
    <xf numFmtId="0" fontId="10" fillId="0" borderId="0" xfId="0" applyFont="1" applyAlignment="1">
      <alignment horizontal="left" vertical="top"/>
    </xf>
    <xf numFmtId="1" fontId="6" fillId="3" borderId="4" xfId="0" applyNumberFormat="1" applyFont="1" applyFill="1" applyBorder="1" applyAlignment="1">
      <alignment horizontal="center" vertical="top" shrinkToFit="1"/>
    </xf>
    <xf numFmtId="1" fontId="3" fillId="0" borderId="16" xfId="0" applyNumberFormat="1" applyFont="1" applyBorder="1" applyAlignment="1">
      <alignment horizontal="center" vertical="top" shrinkToFit="1"/>
    </xf>
    <xf numFmtId="0" fontId="16" fillId="0" borderId="0" xfId="0" applyFont="1" applyAlignment="1">
      <alignment horizontal="left" wrapText="1"/>
    </xf>
    <xf numFmtId="0" fontId="16" fillId="0" borderId="0" xfId="0" applyFont="1" applyAlignment="1">
      <alignment horizontal="left" vertical="center" wrapText="1"/>
    </xf>
    <xf numFmtId="0" fontId="10" fillId="0" borderId="10" xfId="0" applyFont="1" applyBorder="1" applyAlignment="1">
      <alignment vertical="top" wrapText="1"/>
    </xf>
    <xf numFmtId="0" fontId="10" fillId="0" borderId="2" xfId="0" applyFont="1" applyBorder="1" applyAlignment="1">
      <alignment horizontal="center" vertical="center" wrapText="1"/>
    </xf>
    <xf numFmtId="0" fontId="16" fillId="2" borderId="4" xfId="0" applyFont="1" applyFill="1" applyBorder="1" applyAlignment="1">
      <alignment horizontal="left" wrapText="1"/>
    </xf>
    <xf numFmtId="0" fontId="16" fillId="0" borderId="4" xfId="0" applyFont="1" applyBorder="1" applyAlignment="1">
      <alignment horizontal="left" wrapText="1"/>
    </xf>
    <xf numFmtId="0" fontId="16" fillId="0" borderId="1" xfId="0" applyFont="1" applyBorder="1" applyAlignment="1">
      <alignment horizontal="left" wrapText="1"/>
    </xf>
    <xf numFmtId="0" fontId="16" fillId="0" borderId="2" xfId="0" applyFont="1" applyBorder="1" applyAlignment="1">
      <alignment horizontal="left" wrapText="1"/>
    </xf>
    <xf numFmtId="0" fontId="16" fillId="0" borderId="0" xfId="0" applyFont="1" applyAlignment="1">
      <alignment horizontal="left" vertical="top"/>
    </xf>
    <xf numFmtId="1" fontId="6" fillId="0" borderId="11" xfId="0" applyNumberFormat="1" applyFont="1" applyBorder="1" applyAlignment="1">
      <alignment horizontal="center" vertical="top" shrinkToFit="1"/>
    </xf>
    <xf numFmtId="0" fontId="11" fillId="0" borderId="4" xfId="0" applyFont="1" applyBorder="1" applyAlignment="1">
      <alignment horizontal="left" vertical="top"/>
    </xf>
    <xf numFmtId="0" fontId="17" fillId="0" borderId="0" xfId="0" applyFont="1" applyAlignment="1">
      <alignment horizontal="left" vertical="top"/>
    </xf>
    <xf numFmtId="0" fontId="17" fillId="0" borderId="1" xfId="0" applyFont="1" applyBorder="1" applyAlignment="1">
      <alignment horizontal="left"/>
    </xf>
    <xf numFmtId="0" fontId="18" fillId="5" borderId="4" xfId="0" applyFont="1" applyFill="1" applyBorder="1" applyAlignment="1">
      <alignment vertical="center" wrapText="1"/>
    </xf>
    <xf numFmtId="0" fontId="11" fillId="5" borderId="4" xfId="0" applyFont="1" applyFill="1" applyBorder="1" applyAlignment="1">
      <alignment vertical="center" wrapText="1"/>
    </xf>
    <xf numFmtId="1" fontId="20" fillId="0" borderId="2" xfId="0" applyNumberFormat="1" applyFont="1" applyBorder="1" applyAlignment="1">
      <alignment horizontal="center" vertical="top" shrinkToFit="1"/>
    </xf>
    <xf numFmtId="0" fontId="11" fillId="2" borderId="2" xfId="0" applyFont="1" applyFill="1" applyBorder="1" applyAlignment="1">
      <alignment horizontal="left" vertical="top" wrapText="1"/>
    </xf>
    <xf numFmtId="1" fontId="20" fillId="2" borderId="2" xfId="0" applyNumberFormat="1" applyFont="1" applyFill="1" applyBorder="1" applyAlignment="1">
      <alignment horizontal="center" vertical="top" shrinkToFit="1"/>
    </xf>
    <xf numFmtId="0" fontId="11" fillId="0" borderId="2" xfId="0" applyFont="1" applyBorder="1" applyAlignment="1">
      <alignment horizontal="left" vertical="top" wrapText="1"/>
    </xf>
    <xf numFmtId="1" fontId="20" fillId="0" borderId="3" xfId="0" applyNumberFormat="1" applyFont="1" applyBorder="1" applyAlignment="1">
      <alignment horizontal="center" vertical="top" shrinkToFit="1"/>
    </xf>
    <xf numFmtId="0" fontId="11" fillId="0" borderId="3" xfId="0" applyFont="1" applyBorder="1" applyAlignment="1">
      <alignment horizontal="left" vertical="top" wrapText="1"/>
    </xf>
    <xf numFmtId="0" fontId="15" fillId="5" borderId="4" xfId="0" applyFont="1" applyFill="1" applyBorder="1" applyAlignment="1">
      <alignment vertical="center"/>
    </xf>
    <xf numFmtId="0" fontId="6" fillId="6" borderId="4" xfId="0" applyFont="1" applyFill="1" applyBorder="1" applyAlignment="1">
      <alignment horizontal="left" vertical="center" wrapText="1"/>
    </xf>
    <xf numFmtId="0" fontId="19" fillId="5" borderId="4" xfId="0" applyFont="1" applyFill="1" applyBorder="1" applyAlignment="1">
      <alignment horizontal="left" vertical="center" wrapText="1"/>
    </xf>
    <xf numFmtId="0" fontId="18" fillId="5" borderId="0" xfId="0" applyFont="1" applyFill="1" applyAlignment="1">
      <alignment vertical="center" wrapText="1"/>
    </xf>
    <xf numFmtId="0" fontId="19" fillId="5" borderId="4" xfId="0" applyFont="1" applyFill="1" applyBorder="1" applyAlignment="1">
      <alignment horizontal="left" vertical="center"/>
    </xf>
    <xf numFmtId="0" fontId="15" fillId="5" borderId="0" xfId="0" applyFont="1" applyFill="1" applyAlignment="1">
      <alignment vertical="center"/>
    </xf>
    <xf numFmtId="0" fontId="10" fillId="0" borderId="0" xfId="0" applyFont="1" applyAlignment="1">
      <alignment vertical="top" wrapText="1"/>
    </xf>
    <xf numFmtId="0" fontId="10" fillId="0" borderId="0" xfId="0" applyFont="1" applyAlignment="1">
      <alignment vertical="top"/>
    </xf>
    <xf numFmtId="0" fontId="7" fillId="0" borderId="4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top"/>
    </xf>
    <xf numFmtId="1" fontId="5" fillId="0" borderId="4" xfId="0" applyNumberFormat="1" applyFont="1" applyBorder="1" applyAlignment="1">
      <alignment horizontal="center" vertical="top" shrinkToFit="1"/>
    </xf>
    <xf numFmtId="1" fontId="5" fillId="2" borderId="4" xfId="0" applyNumberFormat="1" applyFont="1" applyFill="1" applyBorder="1" applyAlignment="1">
      <alignment horizontal="center" vertical="top" shrinkToFit="1"/>
    </xf>
    <xf numFmtId="0" fontId="5" fillId="2" borderId="4" xfId="0" applyFont="1" applyFill="1" applyBorder="1" applyAlignment="1">
      <alignment horizontal="left" vertical="top" wrapText="1"/>
    </xf>
    <xf numFmtId="0" fontId="6" fillId="0" borderId="4" xfId="0" applyFont="1" applyBorder="1" applyAlignment="1">
      <alignment horizontal="center" vertical="center" wrapText="1"/>
    </xf>
    <xf numFmtId="1" fontId="11" fillId="0" borderId="4" xfId="0" applyNumberFormat="1" applyFont="1" applyBorder="1" applyAlignment="1">
      <alignment horizontal="center" vertical="top" shrinkToFit="1"/>
    </xf>
    <xf numFmtId="0" fontId="5" fillId="0" borderId="4" xfId="0" applyFont="1" applyBorder="1" applyAlignment="1">
      <alignment horizontal="left" vertical="top" wrapText="1"/>
    </xf>
    <xf numFmtId="1" fontId="5" fillId="0" borderId="2" xfId="0" applyNumberFormat="1" applyFont="1" applyBorder="1" applyAlignment="1">
      <alignment horizontal="center" vertical="top" shrinkToFit="1"/>
    </xf>
    <xf numFmtId="1" fontId="3" fillId="0" borderId="4" xfId="0" applyNumberFormat="1" applyFont="1" applyBorder="1" applyAlignment="1">
      <alignment horizontal="center" vertical="top" shrinkToFit="1"/>
    </xf>
    <xf numFmtId="1" fontId="4" fillId="0" borderId="4" xfId="0" applyNumberFormat="1" applyFont="1" applyBorder="1" applyAlignment="1">
      <alignment horizontal="center" vertical="top" shrinkToFit="1"/>
    </xf>
    <xf numFmtId="0" fontId="22" fillId="0" borderId="4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center" wrapText="1"/>
    </xf>
    <xf numFmtId="0" fontId="0" fillId="0" borderId="0" xfId="0"/>
    <xf numFmtId="0" fontId="24" fillId="7" borderId="4" xfId="0" applyFont="1" applyFill="1" applyBorder="1" applyAlignment="1">
      <alignment horizontal="left" vertical="center" wrapText="1"/>
    </xf>
    <xf numFmtId="0" fontId="10" fillId="0" borderId="0" xfId="0" applyFont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1" fontId="20" fillId="2" borderId="4" xfId="0" applyNumberFormat="1" applyFont="1" applyFill="1" applyBorder="1" applyAlignment="1">
      <alignment horizontal="center" vertical="top" shrinkToFit="1"/>
    </xf>
    <xf numFmtId="0" fontId="11" fillId="0" borderId="4" xfId="0" applyFont="1" applyBorder="1" applyAlignment="1">
      <alignment horizontal="left" vertical="top" wrapText="1"/>
    </xf>
    <xf numFmtId="0" fontId="18" fillId="5" borderId="1" xfId="0" applyFont="1" applyFill="1" applyBorder="1" applyAlignment="1">
      <alignment vertical="center" wrapText="1"/>
    </xf>
    <xf numFmtId="0" fontId="11" fillId="5" borderId="1" xfId="0" applyFont="1" applyFill="1" applyBorder="1" applyAlignment="1">
      <alignment vertical="center" wrapText="1"/>
    </xf>
    <xf numFmtId="0" fontId="18" fillId="7" borderId="4" xfId="0" applyFont="1" applyFill="1" applyBorder="1" applyAlignment="1">
      <alignment vertical="center" wrapText="1"/>
    </xf>
    <xf numFmtId="0" fontId="15" fillId="7" borderId="4" xfId="0" applyFont="1" applyFill="1" applyBorder="1" applyAlignment="1">
      <alignment vertical="center"/>
    </xf>
    <xf numFmtId="0" fontId="6" fillId="7" borderId="4" xfId="0" applyFont="1" applyFill="1" applyBorder="1" applyAlignment="1">
      <alignment horizontal="left" vertical="center" wrapText="1"/>
    </xf>
    <xf numFmtId="0" fontId="6" fillId="7" borderId="2" xfId="0" applyFont="1" applyFill="1" applyBorder="1" applyAlignment="1">
      <alignment horizontal="left" vertical="center" wrapText="1"/>
    </xf>
    <xf numFmtId="1" fontId="20" fillId="7" borderId="4" xfId="0" applyNumberFormat="1" applyFont="1" applyFill="1" applyBorder="1" applyAlignment="1">
      <alignment horizontal="center" vertical="top" shrinkToFit="1"/>
    </xf>
    <xf numFmtId="0" fontId="18" fillId="5" borderId="2" xfId="0" applyFont="1" applyFill="1" applyBorder="1" applyAlignment="1">
      <alignment vertical="center" wrapText="1"/>
    </xf>
    <xf numFmtId="0" fontId="11" fillId="7" borderId="4" xfId="0" applyFont="1" applyFill="1" applyBorder="1" applyAlignment="1">
      <alignment horizontal="left" vertical="top" wrapText="1"/>
    </xf>
    <xf numFmtId="0" fontId="11" fillId="5" borderId="2" xfId="0" applyFont="1" applyFill="1" applyBorder="1" applyAlignment="1">
      <alignment vertical="center" wrapText="1"/>
    </xf>
    <xf numFmtId="0" fontId="15" fillId="5" borderId="2" xfId="0" applyFont="1" applyFill="1" applyBorder="1" applyAlignment="1">
      <alignment vertical="center"/>
    </xf>
    <xf numFmtId="0" fontId="15" fillId="5" borderId="1" xfId="0" applyFont="1" applyFill="1" applyBorder="1" applyAlignment="1">
      <alignment vertical="center"/>
    </xf>
    <xf numFmtId="0" fontId="6" fillId="6" borderId="2" xfId="0" applyFont="1" applyFill="1" applyBorder="1" applyAlignment="1">
      <alignment horizontal="left" vertical="center" wrapText="1"/>
    </xf>
    <xf numFmtId="0" fontId="18" fillId="8" borderId="4" xfId="0" applyFont="1" applyFill="1" applyBorder="1" applyAlignment="1">
      <alignment vertical="center" wrapText="1"/>
    </xf>
    <xf numFmtId="0" fontId="15" fillId="8" borderId="4" xfId="0" applyFont="1" applyFill="1" applyBorder="1" applyAlignment="1">
      <alignment vertical="center"/>
    </xf>
    <xf numFmtId="0" fontId="25" fillId="0" borderId="0" xfId="0" applyFont="1" applyAlignment="1">
      <alignment horizontal="left" wrapText="1"/>
    </xf>
    <xf numFmtId="0" fontId="18" fillId="0" borderId="0" xfId="0" applyFont="1" applyAlignment="1">
      <alignment horizontal="left" wrapText="1"/>
    </xf>
    <xf numFmtId="0" fontId="25" fillId="0" borderId="0" xfId="0" applyFont="1" applyAlignment="1">
      <alignment horizontal="left" vertical="center" wrapText="1"/>
    </xf>
    <xf numFmtId="0" fontId="18" fillId="0" borderId="0" xfId="0" applyFont="1" applyAlignment="1">
      <alignment horizontal="left" vertical="center" wrapText="1"/>
    </xf>
    <xf numFmtId="1" fontId="5" fillId="0" borderId="16" xfId="0" applyNumberFormat="1" applyFont="1" applyBorder="1" applyAlignment="1">
      <alignment horizontal="center" vertical="top" shrinkToFit="1"/>
    </xf>
    <xf numFmtId="1" fontId="18" fillId="2" borderId="2" xfId="0" applyNumberFormat="1" applyFont="1" applyFill="1" applyBorder="1" applyAlignment="1">
      <alignment horizontal="center" vertical="top" shrinkToFit="1"/>
    </xf>
    <xf numFmtId="1" fontId="5" fillId="0" borderId="3" xfId="0" applyNumberFormat="1" applyFont="1" applyBorder="1" applyAlignment="1">
      <alignment horizontal="center" vertical="top" shrinkToFit="1"/>
    </xf>
    <xf numFmtId="1" fontId="18" fillId="0" borderId="3" xfId="0" applyNumberFormat="1" applyFont="1" applyBorder="1" applyAlignment="1">
      <alignment horizontal="center" vertical="top" shrinkToFit="1"/>
    </xf>
    <xf numFmtId="0" fontId="25" fillId="0" borderId="4" xfId="0" applyFont="1" applyBorder="1" applyAlignment="1">
      <alignment horizontal="left" wrapText="1"/>
    </xf>
    <xf numFmtId="0" fontId="18" fillId="2" borderId="4" xfId="0" applyFont="1" applyFill="1" applyBorder="1" applyAlignment="1">
      <alignment horizontal="left" wrapText="1"/>
    </xf>
    <xf numFmtId="0" fontId="9" fillId="2" borderId="4" xfId="0" applyFont="1" applyFill="1" applyBorder="1" applyAlignment="1">
      <alignment horizontal="right" wrapText="1"/>
    </xf>
    <xf numFmtId="0" fontId="18" fillId="0" borderId="4" xfId="0" applyFont="1" applyBorder="1" applyAlignment="1">
      <alignment horizontal="left" wrapText="1"/>
    </xf>
    <xf numFmtId="0" fontId="25" fillId="0" borderId="15" xfId="0" applyFont="1" applyBorder="1" applyAlignment="1">
      <alignment horizontal="left" wrapText="1"/>
    </xf>
    <xf numFmtId="0" fontId="18" fillId="0" borderId="1" xfId="0" applyFont="1" applyBorder="1" applyAlignment="1">
      <alignment horizontal="left" wrapText="1"/>
    </xf>
    <xf numFmtId="0" fontId="15" fillId="0" borderId="1" xfId="0" applyFont="1" applyBorder="1" applyAlignment="1">
      <alignment horizontal="left"/>
    </xf>
    <xf numFmtId="0" fontId="25" fillId="0" borderId="13" xfId="0" applyFont="1" applyBorder="1" applyAlignment="1">
      <alignment horizontal="left" wrapText="1"/>
    </xf>
    <xf numFmtId="0" fontId="18" fillId="0" borderId="2" xfId="0" applyFont="1" applyBorder="1" applyAlignment="1">
      <alignment horizontal="left" wrapText="1"/>
    </xf>
    <xf numFmtId="0" fontId="25" fillId="0" borderId="2" xfId="0" applyFont="1" applyBorder="1" applyAlignment="1">
      <alignment horizontal="left" wrapText="1"/>
    </xf>
    <xf numFmtId="0" fontId="25" fillId="0" borderId="0" xfId="0" applyFont="1" applyAlignment="1">
      <alignment horizontal="left" vertical="top"/>
    </xf>
    <xf numFmtId="0" fontId="18" fillId="0" borderId="0" xfId="0" applyFont="1" applyAlignment="1">
      <alignment horizontal="left" vertical="top"/>
    </xf>
    <xf numFmtId="0" fontId="6" fillId="9" borderId="18" xfId="0" applyFont="1" applyFill="1" applyBorder="1" applyAlignment="1">
      <alignment horizontal="center" vertical="top" wrapText="1"/>
    </xf>
    <xf numFmtId="0" fontId="6" fillId="9" borderId="19" xfId="0" applyFont="1" applyFill="1" applyBorder="1" applyAlignment="1">
      <alignment horizontal="left" vertical="top" wrapText="1"/>
    </xf>
    <xf numFmtId="0" fontId="6" fillId="0" borderId="20" xfId="0" applyFont="1" applyBorder="1" applyAlignment="1">
      <alignment horizontal="center" vertical="top" wrapText="1"/>
    </xf>
    <xf numFmtId="0" fontId="6" fillId="9" borderId="21" xfId="0" applyFont="1" applyFill="1" applyBorder="1" applyAlignment="1">
      <alignment horizontal="left" vertical="top" wrapText="1"/>
    </xf>
    <xf numFmtId="0" fontId="6" fillId="9" borderId="20" xfId="0" applyFont="1" applyFill="1" applyBorder="1" applyAlignment="1">
      <alignment horizontal="center" vertical="top" wrapText="1"/>
    </xf>
    <xf numFmtId="0" fontId="6" fillId="0" borderId="21" xfId="0" applyFont="1" applyBorder="1" applyAlignment="1">
      <alignment horizontal="left" vertical="top" wrapText="1"/>
    </xf>
    <xf numFmtId="0" fontId="7" fillId="0" borderId="7" xfId="0" applyFont="1" applyBorder="1" applyAlignment="1">
      <alignment horizontal="center" vertical="center" wrapText="1"/>
    </xf>
    <xf numFmtId="1" fontId="21" fillId="0" borderId="7" xfId="0" applyNumberFormat="1" applyFont="1" applyBorder="1" applyAlignment="1">
      <alignment horizontal="center" vertical="top" wrapText="1" shrinkToFit="1"/>
    </xf>
    <xf numFmtId="1" fontId="5" fillId="2" borderId="8" xfId="0" applyNumberFormat="1" applyFont="1" applyFill="1" applyBorder="1" applyAlignment="1">
      <alignment horizontal="center" vertical="top" shrinkToFit="1"/>
    </xf>
    <xf numFmtId="0" fontId="5" fillId="2" borderId="8" xfId="0" applyFont="1" applyFill="1" applyBorder="1" applyAlignment="1">
      <alignment horizontal="left" vertical="top" wrapText="1"/>
    </xf>
    <xf numFmtId="0" fontId="6" fillId="0" borderId="8" xfId="0" applyFont="1" applyBorder="1" applyAlignment="1">
      <alignment horizontal="center" vertical="center" wrapText="1"/>
    </xf>
    <xf numFmtId="0" fontId="26" fillId="0" borderId="2" xfId="0" applyFont="1" applyBorder="1" applyAlignment="1">
      <alignment wrapText="1"/>
    </xf>
    <xf numFmtId="0" fontId="18" fillId="0" borderId="4" xfId="0" applyFont="1" applyBorder="1" applyAlignment="1">
      <alignment vertical="center" wrapText="1"/>
    </xf>
    <xf numFmtId="0" fontId="15" fillId="0" borderId="4" xfId="0" applyFont="1" applyBorder="1" applyAlignment="1">
      <alignment vertical="center"/>
    </xf>
    <xf numFmtId="1" fontId="18" fillId="0" borderId="4" xfId="0" applyNumberFormat="1" applyFont="1" applyBorder="1" applyAlignment="1">
      <alignment horizontal="center" vertical="top" shrinkToFit="1"/>
    </xf>
    <xf numFmtId="0" fontId="13" fillId="0" borderId="17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9" fillId="0" borderId="5" xfId="0" applyFont="1" applyBorder="1" applyAlignment="1">
      <alignment horizontal="center" vertical="top" wrapText="1"/>
    </xf>
    <xf numFmtId="0" fontId="9" fillId="0" borderId="0" xfId="0" applyFont="1" applyAlignment="1">
      <alignment horizontal="center" vertical="top" wrapText="1"/>
    </xf>
    <xf numFmtId="0" fontId="9" fillId="0" borderId="6" xfId="0" applyFont="1" applyBorder="1" applyAlignment="1">
      <alignment horizontal="center" vertical="top" wrapText="1"/>
    </xf>
    <xf numFmtId="0" fontId="6" fillId="0" borderId="0" xfId="0" applyFont="1" applyAlignment="1">
      <alignment horizontal="center" vertical="top" wrapText="1"/>
    </xf>
    <xf numFmtId="0" fontId="11" fillId="0" borderId="0" xfId="0" applyFont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49" fontId="9" fillId="0" borderId="7" xfId="0" applyNumberFormat="1" applyFont="1" applyBorder="1" applyAlignment="1">
      <alignment horizontal="center" vertical="center" textRotation="90"/>
    </xf>
    <xf numFmtId="49" fontId="9" fillId="0" borderId="9" xfId="0" applyNumberFormat="1" applyFont="1" applyBorder="1" applyAlignment="1">
      <alignment horizontal="center" vertical="center" textRotation="90"/>
    </xf>
    <xf numFmtId="49" fontId="9" fillId="0" borderId="8" xfId="0" applyNumberFormat="1" applyFont="1" applyBorder="1" applyAlignment="1">
      <alignment horizontal="center" vertical="center" textRotation="90"/>
    </xf>
    <xf numFmtId="0" fontId="7" fillId="3" borderId="4" xfId="0" applyFont="1" applyFill="1" applyBorder="1" applyAlignment="1">
      <alignment horizontal="center" vertical="center" textRotation="91" wrapText="1"/>
    </xf>
    <xf numFmtId="0" fontId="7" fillId="4" borderId="4" xfId="0" applyFont="1" applyFill="1" applyBorder="1" applyAlignment="1">
      <alignment horizontal="center" vertical="center" textRotation="91" wrapText="1"/>
    </xf>
    <xf numFmtId="0" fontId="13" fillId="0" borderId="14" xfId="0" applyFont="1" applyBorder="1" applyAlignment="1">
      <alignment horizontal="center"/>
    </xf>
    <xf numFmtId="0" fontId="13" fillId="0" borderId="12" xfId="0" applyFont="1" applyBorder="1" applyAlignment="1">
      <alignment horizontal="center"/>
    </xf>
    <xf numFmtId="0" fontId="1" fillId="0" borderId="7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textRotation="90" wrapText="1"/>
    </xf>
    <xf numFmtId="0" fontId="7" fillId="0" borderId="9" xfId="0" applyFont="1" applyBorder="1" applyAlignment="1">
      <alignment horizontal="center" vertical="center" textRotation="90" wrapText="1"/>
    </xf>
    <xf numFmtId="0" fontId="7" fillId="0" borderId="8" xfId="0" applyFont="1" applyBorder="1" applyAlignment="1">
      <alignment horizontal="center" vertical="center" textRotation="90" wrapText="1"/>
    </xf>
    <xf numFmtId="0" fontId="7" fillId="0" borderId="4" xfId="0" applyFont="1" applyBorder="1" applyAlignment="1">
      <alignment horizontal="center" textRotation="90" wrapText="1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13"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1584614</xdr:colOff>
      <xdr:row>0</xdr:row>
      <xdr:rowOff>1</xdr:rowOff>
    </xdr:from>
    <xdr:to>
      <xdr:col>12</xdr:col>
      <xdr:colOff>181841</xdr:colOff>
      <xdr:row>3</xdr:row>
      <xdr:rowOff>17319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8664" y="1"/>
          <a:ext cx="4169351" cy="684068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1584614</xdr:colOff>
      <xdr:row>0</xdr:row>
      <xdr:rowOff>1</xdr:rowOff>
    </xdr:from>
    <xdr:to>
      <xdr:col>12</xdr:col>
      <xdr:colOff>181841</xdr:colOff>
      <xdr:row>3</xdr:row>
      <xdr:rowOff>17319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789" y="1"/>
          <a:ext cx="4169352" cy="684068"/>
        </a:xfrm>
        <a:prstGeom prst="rect">
          <a:avLst/>
        </a:prstGeom>
        <a:noFill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1489364</xdr:colOff>
      <xdr:row>0</xdr:row>
      <xdr:rowOff>1</xdr:rowOff>
    </xdr:from>
    <xdr:to>
      <xdr:col>12</xdr:col>
      <xdr:colOff>86591</xdr:colOff>
      <xdr:row>3</xdr:row>
      <xdr:rowOff>17319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08539" y="1"/>
          <a:ext cx="4169352" cy="684068"/>
        </a:xfrm>
        <a:prstGeom prst="rect">
          <a:avLst/>
        </a:prstGeom>
        <a:noFill/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298762</xdr:colOff>
      <xdr:row>3</xdr:row>
      <xdr:rowOff>1342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4198620" cy="82804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2"/>
  <sheetViews>
    <sheetView view="pageBreakPreview" zoomScale="110" zoomScaleNormal="100" zoomScaleSheetLayoutView="110" workbookViewId="0">
      <selection activeCell="D11" sqref="D11:R11"/>
    </sheetView>
  </sheetViews>
  <sheetFormatPr defaultRowHeight="13.8"/>
  <cols>
    <col min="1" max="1" width="5.44140625" customWidth="1"/>
    <col min="2" max="2" width="12.33203125" style="53" customWidth="1"/>
    <col min="3" max="3" width="37.44140625" customWidth="1"/>
    <col min="4" max="18" width="6.6640625" customWidth="1"/>
    <col min="19" max="19" width="6" customWidth="1"/>
    <col min="20" max="20" width="4.33203125" customWidth="1"/>
    <col min="21" max="21" width="5.109375" style="33" customWidth="1"/>
  </cols>
  <sheetData>
    <row r="1" spans="1:23" ht="10.5" customHeight="1">
      <c r="A1" s="8"/>
      <c r="B1" s="45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</row>
    <row r="2" spans="1:23" ht="21" customHeight="1">
      <c r="A2" s="9"/>
      <c r="B2" s="46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</row>
    <row r="3" spans="1:23" ht="21.6" customHeight="1">
      <c r="A3" s="9"/>
      <c r="B3" s="46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</row>
    <row r="4" spans="1:23" ht="17.25" customHeight="1">
      <c r="A4" s="145" t="s">
        <v>6</v>
      </c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7"/>
    </row>
    <row r="5" spans="1:23" ht="33" customHeight="1">
      <c r="A5" s="146" t="s">
        <v>10</v>
      </c>
      <c r="B5" s="148"/>
      <c r="C5" s="148"/>
      <c r="D5" s="148"/>
      <c r="E5" s="148"/>
      <c r="F5" s="148"/>
      <c r="G5" s="148"/>
      <c r="H5" s="148"/>
      <c r="I5" s="148"/>
      <c r="J5" s="148"/>
      <c r="K5" s="148"/>
      <c r="L5" s="148"/>
      <c r="M5" s="148"/>
      <c r="N5" s="148"/>
      <c r="O5" s="148"/>
      <c r="P5" s="148"/>
      <c r="Q5" s="148"/>
      <c r="R5" s="148"/>
      <c r="S5" s="148"/>
      <c r="T5" s="148"/>
    </row>
    <row r="6" spans="1:23" ht="31.5" customHeight="1">
      <c r="A6" s="146" t="s">
        <v>22</v>
      </c>
      <c r="B6" s="148"/>
      <c r="C6" s="148"/>
      <c r="D6" s="148"/>
      <c r="E6" s="148"/>
      <c r="F6" s="148"/>
      <c r="G6" s="148"/>
      <c r="H6" s="148"/>
      <c r="I6" s="148"/>
      <c r="J6" s="148"/>
      <c r="K6" s="148"/>
      <c r="L6" s="148"/>
      <c r="M6" s="148"/>
      <c r="N6" s="148"/>
      <c r="O6" s="148"/>
      <c r="P6" s="148"/>
      <c r="Q6" s="148"/>
      <c r="R6" s="148"/>
      <c r="S6" s="148"/>
      <c r="T6" s="148"/>
    </row>
    <row r="7" spans="1:23" ht="18.75" customHeight="1">
      <c r="A7" s="42" t="s">
        <v>28</v>
      </c>
      <c r="B7" s="72"/>
      <c r="C7" s="72"/>
      <c r="D7" s="72"/>
      <c r="E7" s="72"/>
      <c r="F7" s="72"/>
      <c r="G7" s="72"/>
      <c r="H7" s="72"/>
      <c r="I7" s="72"/>
      <c r="J7" s="7"/>
      <c r="K7" s="10"/>
      <c r="L7" s="10"/>
      <c r="M7" s="10"/>
      <c r="N7" s="10"/>
      <c r="O7" s="10"/>
      <c r="P7" s="149" t="s">
        <v>16</v>
      </c>
      <c r="Q7" s="149"/>
      <c r="R7" s="149"/>
      <c r="S7" s="149"/>
      <c r="T7" s="149"/>
    </row>
    <row r="8" spans="1:23" ht="18.75" customHeight="1">
      <c r="A8" s="73" t="s">
        <v>29</v>
      </c>
      <c r="B8" s="89"/>
      <c r="C8" s="89"/>
      <c r="D8" s="89"/>
      <c r="E8" s="89"/>
      <c r="F8" s="89"/>
      <c r="G8" s="89"/>
      <c r="H8" s="89"/>
      <c r="I8" s="89"/>
      <c r="J8" s="7"/>
      <c r="K8" s="10"/>
      <c r="L8" s="10"/>
      <c r="M8" s="10"/>
      <c r="N8" s="10"/>
      <c r="O8" s="10"/>
      <c r="P8" s="34" t="s">
        <v>21</v>
      </c>
      <c r="Q8" s="90"/>
      <c r="R8" s="90"/>
      <c r="S8" s="90"/>
      <c r="T8" s="90"/>
    </row>
    <row r="9" spans="1:23" s="6" customFormat="1" ht="15" customHeight="1">
      <c r="A9" s="20" t="s">
        <v>30</v>
      </c>
      <c r="B9" s="47"/>
      <c r="C9" s="19"/>
      <c r="D9" s="11"/>
      <c r="E9" s="11"/>
      <c r="F9" s="11"/>
      <c r="G9" s="12"/>
      <c r="H9" s="11"/>
      <c r="I9" s="12"/>
      <c r="J9" s="12"/>
      <c r="K9" s="12"/>
      <c r="L9" s="12"/>
      <c r="M9" s="12"/>
      <c r="N9" s="12"/>
      <c r="O9" s="12"/>
      <c r="P9" s="150" t="s">
        <v>7</v>
      </c>
      <c r="Q9" s="150"/>
      <c r="R9" s="150"/>
      <c r="S9" s="150"/>
      <c r="T9" s="150"/>
      <c r="U9" s="34"/>
    </row>
    <row r="10" spans="1:23" ht="13.5" customHeight="1">
      <c r="A10" s="158" t="s">
        <v>19</v>
      </c>
      <c r="B10" s="161" t="s">
        <v>17</v>
      </c>
      <c r="C10" s="162" t="s">
        <v>0</v>
      </c>
      <c r="D10" s="14">
        <v>1</v>
      </c>
      <c r="E10" s="14">
        <v>2</v>
      </c>
      <c r="F10" s="14">
        <v>3</v>
      </c>
      <c r="G10" s="14">
        <v>4</v>
      </c>
      <c r="H10" s="14">
        <v>5</v>
      </c>
      <c r="I10" s="14">
        <v>6</v>
      </c>
      <c r="J10" s="14">
        <v>7</v>
      </c>
      <c r="K10" s="14">
        <v>8</v>
      </c>
      <c r="L10" s="14">
        <v>9</v>
      </c>
      <c r="M10" s="15">
        <v>10</v>
      </c>
      <c r="N10" s="15">
        <v>11</v>
      </c>
      <c r="O10" s="15">
        <v>12</v>
      </c>
      <c r="P10" s="15">
        <v>13</v>
      </c>
      <c r="Q10" s="15">
        <v>14</v>
      </c>
      <c r="R10" s="15">
        <v>15</v>
      </c>
      <c r="S10" s="163" t="s">
        <v>8</v>
      </c>
      <c r="T10" s="166" t="s">
        <v>9</v>
      </c>
      <c r="U10" s="151" t="s">
        <v>20</v>
      </c>
    </row>
    <row r="11" spans="1:23" ht="15.75" customHeight="1">
      <c r="A11" s="159"/>
      <c r="B11" s="161"/>
      <c r="C11" s="162"/>
      <c r="D11" s="154" t="s">
        <v>31</v>
      </c>
      <c r="E11" s="154"/>
      <c r="F11" s="154"/>
      <c r="G11" s="154"/>
      <c r="H11" s="154"/>
      <c r="I11" s="155" t="s">
        <v>32</v>
      </c>
      <c r="J11" s="155"/>
      <c r="K11" s="155"/>
      <c r="L11" s="155"/>
      <c r="M11" s="155"/>
      <c r="N11" s="154" t="s">
        <v>33</v>
      </c>
      <c r="O11" s="154"/>
      <c r="P11" s="154"/>
      <c r="Q11" s="154"/>
      <c r="R11" s="154"/>
      <c r="S11" s="164"/>
      <c r="T11" s="166"/>
      <c r="U11" s="152"/>
    </row>
    <row r="12" spans="1:23" ht="45" customHeight="1">
      <c r="A12" s="160"/>
      <c r="B12" s="161"/>
      <c r="C12" s="162"/>
      <c r="D12" s="18" t="s">
        <v>1</v>
      </c>
      <c r="E12" s="18" t="s">
        <v>2</v>
      </c>
      <c r="F12" s="18" t="s">
        <v>4</v>
      </c>
      <c r="G12" s="18" t="s">
        <v>3</v>
      </c>
      <c r="H12" s="18" t="s">
        <v>5</v>
      </c>
      <c r="I12" s="36" t="s">
        <v>1</v>
      </c>
      <c r="J12" s="36" t="s">
        <v>2</v>
      </c>
      <c r="K12" s="36" t="s">
        <v>4</v>
      </c>
      <c r="L12" s="36" t="s">
        <v>3</v>
      </c>
      <c r="M12" s="36" t="s">
        <v>5</v>
      </c>
      <c r="N12" s="18" t="s">
        <v>1</v>
      </c>
      <c r="O12" s="18" t="s">
        <v>2</v>
      </c>
      <c r="P12" s="18" t="s">
        <v>4</v>
      </c>
      <c r="Q12" s="18" t="s">
        <v>3</v>
      </c>
      <c r="R12" s="18" t="s">
        <v>5</v>
      </c>
      <c r="S12" s="165"/>
      <c r="T12" s="166"/>
      <c r="U12" s="153"/>
    </row>
    <row r="13" spans="1:23" ht="17.850000000000001" customHeight="1">
      <c r="A13" s="44">
        <v>1</v>
      </c>
      <c r="B13" s="58" t="s">
        <v>34</v>
      </c>
      <c r="C13" s="66" t="s">
        <v>35</v>
      </c>
      <c r="D13" s="88"/>
      <c r="E13" s="88"/>
      <c r="F13" s="88"/>
      <c r="G13" s="88"/>
      <c r="H13" s="88"/>
      <c r="I13" s="88"/>
      <c r="J13" s="88"/>
      <c r="K13" s="88"/>
      <c r="L13" s="88"/>
      <c r="M13" s="88"/>
      <c r="N13" s="88"/>
      <c r="O13" s="88"/>
      <c r="P13" s="88"/>
      <c r="Q13" s="88"/>
      <c r="R13" s="88"/>
      <c r="S13" s="13">
        <f t="shared" ref="S13:S44" si="0">COUNTIF(D13:R13,"P")</f>
        <v>0</v>
      </c>
      <c r="T13" s="54">
        <f t="shared" ref="T13:T44" si="1">ROUND(SUM(S13/15*100),0)</f>
        <v>0</v>
      </c>
      <c r="U13" s="55" t="str">
        <f t="shared" ref="U13:U44" si="2">IF(T13&gt;=75,"EG",IF(T13&gt;=65,"CN","NE"))</f>
        <v>NE</v>
      </c>
    </row>
    <row r="14" spans="1:23" ht="17.850000000000001" customHeight="1">
      <c r="A14" s="44">
        <v>2</v>
      </c>
      <c r="B14" s="58" t="s">
        <v>36</v>
      </c>
      <c r="C14" s="66" t="s">
        <v>37</v>
      </c>
      <c r="D14" s="40"/>
      <c r="E14" s="40"/>
      <c r="F14" s="40"/>
      <c r="G14" s="40"/>
      <c r="H14" s="40"/>
      <c r="I14" s="41"/>
      <c r="J14" s="67"/>
      <c r="K14" s="67"/>
      <c r="L14" s="41"/>
      <c r="M14" s="41"/>
      <c r="N14" s="40"/>
      <c r="O14" s="40"/>
      <c r="P14" s="40"/>
      <c r="Q14" s="40"/>
      <c r="R14" s="40"/>
      <c r="S14" s="4">
        <f t="shared" si="0"/>
        <v>0</v>
      </c>
      <c r="T14" s="54">
        <f t="shared" si="1"/>
        <v>0</v>
      </c>
      <c r="U14" s="55" t="str">
        <f t="shared" si="2"/>
        <v>NE</v>
      </c>
    </row>
    <row r="15" spans="1:23" ht="17.850000000000001" customHeight="1">
      <c r="A15" s="44">
        <v>3</v>
      </c>
      <c r="B15" s="58" t="s">
        <v>38</v>
      </c>
      <c r="C15" s="66" t="s">
        <v>39</v>
      </c>
      <c r="D15" s="40"/>
      <c r="E15" s="40"/>
      <c r="F15" s="40"/>
      <c r="G15" s="40"/>
      <c r="H15" s="40"/>
      <c r="I15" s="41"/>
      <c r="J15" s="67"/>
      <c r="K15" s="67"/>
      <c r="L15" s="41"/>
      <c r="M15" s="41"/>
      <c r="N15" s="40"/>
      <c r="O15" s="40"/>
      <c r="P15" s="40"/>
      <c r="Q15" s="40"/>
      <c r="R15" s="40"/>
      <c r="S15" s="4">
        <f t="shared" si="0"/>
        <v>0</v>
      </c>
      <c r="T15" s="54">
        <f t="shared" si="1"/>
        <v>0</v>
      </c>
      <c r="U15" s="55" t="str">
        <f t="shared" si="2"/>
        <v>NE</v>
      </c>
      <c r="W15" s="56"/>
    </row>
    <row r="16" spans="1:23" ht="17.850000000000001" customHeight="1">
      <c r="A16" s="44">
        <v>4</v>
      </c>
      <c r="B16" s="91" t="s">
        <v>40</v>
      </c>
      <c r="C16" s="92" t="s">
        <v>41</v>
      </c>
      <c r="D16" s="40"/>
      <c r="E16" s="40"/>
      <c r="F16" s="40"/>
      <c r="G16" s="40"/>
      <c r="H16" s="40"/>
      <c r="I16" s="41"/>
      <c r="J16" s="67"/>
      <c r="K16" s="67"/>
      <c r="L16" s="41"/>
      <c r="M16" s="41"/>
      <c r="N16" s="40"/>
      <c r="O16" s="40"/>
      <c r="P16" s="40"/>
      <c r="Q16" s="40"/>
      <c r="R16" s="40"/>
      <c r="S16" s="4">
        <f t="shared" si="0"/>
        <v>0</v>
      </c>
      <c r="T16" s="54">
        <f t="shared" si="1"/>
        <v>0</v>
      </c>
      <c r="U16" s="55" t="str">
        <f t="shared" si="2"/>
        <v>NE</v>
      </c>
    </row>
    <row r="17" spans="1:22" ht="17.850000000000001" customHeight="1">
      <c r="A17" s="44">
        <v>5</v>
      </c>
      <c r="B17" s="58" t="s">
        <v>42</v>
      </c>
      <c r="C17" s="66" t="s">
        <v>43</v>
      </c>
      <c r="D17" s="40"/>
      <c r="E17" s="40"/>
      <c r="F17" s="40"/>
      <c r="G17" s="16"/>
      <c r="H17" s="16"/>
      <c r="I17" s="41"/>
      <c r="J17" s="67"/>
      <c r="K17" s="67"/>
      <c r="L17" s="41"/>
      <c r="M17" s="41"/>
      <c r="N17" s="40"/>
      <c r="O17" s="40"/>
      <c r="P17" s="40"/>
      <c r="Q17" s="40"/>
      <c r="R17" s="40"/>
      <c r="S17" s="4">
        <f t="shared" si="0"/>
        <v>0</v>
      </c>
      <c r="T17" s="54">
        <f t="shared" si="1"/>
        <v>0</v>
      </c>
      <c r="U17" s="55" t="str">
        <f t="shared" si="2"/>
        <v>NE</v>
      </c>
    </row>
    <row r="18" spans="1:22" ht="17.850000000000001" customHeight="1">
      <c r="A18" s="44">
        <v>6</v>
      </c>
      <c r="B18" s="58" t="s">
        <v>44</v>
      </c>
      <c r="C18" s="66" t="s">
        <v>45</v>
      </c>
      <c r="D18" s="17"/>
      <c r="E18" s="17"/>
      <c r="F18" s="17"/>
      <c r="G18" s="17"/>
      <c r="H18" s="17"/>
      <c r="I18" s="41"/>
      <c r="J18" s="67"/>
      <c r="K18" s="67"/>
      <c r="L18" s="41"/>
      <c r="M18" s="41"/>
      <c r="N18" s="40"/>
      <c r="O18" s="40"/>
      <c r="P18" s="40"/>
      <c r="Q18" s="40"/>
      <c r="R18" s="40"/>
      <c r="S18" s="4">
        <f t="shared" si="0"/>
        <v>0</v>
      </c>
      <c r="T18" s="54">
        <f t="shared" si="1"/>
        <v>0</v>
      </c>
      <c r="U18" s="55" t="str">
        <f t="shared" si="2"/>
        <v>NE</v>
      </c>
      <c r="V18" s="56" t="s">
        <v>26</v>
      </c>
    </row>
    <row r="19" spans="1:22" ht="17.850000000000001" customHeight="1">
      <c r="A19" s="44">
        <v>7</v>
      </c>
      <c r="B19" s="58" t="s">
        <v>46</v>
      </c>
      <c r="C19" s="66" t="s">
        <v>47</v>
      </c>
      <c r="D19" s="40"/>
      <c r="E19" s="40"/>
      <c r="F19" s="40"/>
      <c r="G19" s="17"/>
      <c r="H19" s="17"/>
      <c r="I19" s="41"/>
      <c r="J19" s="67"/>
      <c r="K19" s="67"/>
      <c r="L19" s="41"/>
      <c r="M19" s="41"/>
      <c r="N19" s="17"/>
      <c r="O19" s="17"/>
      <c r="P19" s="17"/>
      <c r="Q19" s="17"/>
      <c r="R19" s="17"/>
      <c r="S19" s="4">
        <f t="shared" si="0"/>
        <v>0</v>
      </c>
      <c r="T19" s="54">
        <f t="shared" si="1"/>
        <v>0</v>
      </c>
      <c r="U19" s="55" t="str">
        <f t="shared" si="2"/>
        <v>NE</v>
      </c>
    </row>
    <row r="20" spans="1:22" ht="17.850000000000001" customHeight="1">
      <c r="A20" s="44">
        <v>8</v>
      </c>
      <c r="B20" s="58" t="s">
        <v>48</v>
      </c>
      <c r="C20" s="66" t="s">
        <v>49</v>
      </c>
      <c r="D20" s="17"/>
      <c r="E20" s="17"/>
      <c r="F20" s="17"/>
      <c r="G20" s="17"/>
      <c r="H20" s="17"/>
      <c r="I20" s="41"/>
      <c r="J20" s="67"/>
      <c r="K20" s="67"/>
      <c r="L20" s="41"/>
      <c r="M20" s="41"/>
      <c r="N20" s="17"/>
      <c r="O20" s="17"/>
      <c r="P20" s="17"/>
      <c r="Q20" s="17"/>
      <c r="R20" s="17"/>
      <c r="S20" s="4">
        <f t="shared" si="0"/>
        <v>0</v>
      </c>
      <c r="T20" s="54">
        <f t="shared" si="1"/>
        <v>0</v>
      </c>
      <c r="U20" s="55" t="str">
        <f t="shared" si="2"/>
        <v>NE</v>
      </c>
      <c r="V20" s="56" t="s">
        <v>26</v>
      </c>
    </row>
    <row r="21" spans="1:22" ht="17.850000000000001" customHeight="1">
      <c r="A21" s="44">
        <v>9</v>
      </c>
      <c r="B21" s="58" t="s">
        <v>50</v>
      </c>
      <c r="C21" s="66" t="s">
        <v>51</v>
      </c>
      <c r="D21" s="40"/>
      <c r="E21" s="40"/>
      <c r="F21" s="40"/>
      <c r="G21" s="17"/>
      <c r="H21" s="17"/>
      <c r="I21" s="41"/>
      <c r="J21" s="67"/>
      <c r="K21" s="67"/>
      <c r="L21" s="41"/>
      <c r="M21" s="41"/>
      <c r="N21" s="17"/>
      <c r="O21" s="17"/>
      <c r="P21" s="17"/>
      <c r="Q21" s="17"/>
      <c r="R21" s="17"/>
      <c r="S21" s="4">
        <f t="shared" si="0"/>
        <v>0</v>
      </c>
      <c r="T21" s="54">
        <f t="shared" si="1"/>
        <v>0</v>
      </c>
      <c r="U21" s="55" t="str">
        <f t="shared" si="2"/>
        <v>NE</v>
      </c>
    </row>
    <row r="22" spans="1:22" ht="17.850000000000001" customHeight="1">
      <c r="A22" s="44">
        <v>10</v>
      </c>
      <c r="B22" s="58" t="s">
        <v>52</v>
      </c>
      <c r="C22" s="66" t="s">
        <v>53</v>
      </c>
      <c r="D22" s="40"/>
      <c r="E22" s="40"/>
      <c r="F22" s="40"/>
      <c r="G22" s="17"/>
      <c r="H22" s="17"/>
      <c r="I22" s="41"/>
      <c r="J22" s="67"/>
      <c r="K22" s="67"/>
      <c r="L22" s="41"/>
      <c r="M22" s="41"/>
      <c r="N22" s="17"/>
      <c r="O22" s="17"/>
      <c r="P22" s="17"/>
      <c r="Q22" s="17"/>
      <c r="R22" s="17"/>
      <c r="S22" s="4">
        <f t="shared" si="0"/>
        <v>0</v>
      </c>
      <c r="T22" s="54">
        <f t="shared" si="1"/>
        <v>0</v>
      </c>
      <c r="U22" s="55" t="str">
        <f t="shared" si="2"/>
        <v>NE</v>
      </c>
    </row>
    <row r="23" spans="1:22" ht="17.850000000000001" customHeight="1">
      <c r="A23" s="44">
        <v>11</v>
      </c>
      <c r="B23" s="58" t="s">
        <v>54</v>
      </c>
      <c r="C23" s="66" t="s">
        <v>55</v>
      </c>
      <c r="D23" s="40"/>
      <c r="E23" s="40"/>
      <c r="F23" s="40"/>
      <c r="G23" s="17"/>
      <c r="H23" s="17"/>
      <c r="I23" s="41"/>
      <c r="J23" s="67"/>
      <c r="K23" s="67"/>
      <c r="L23" s="41"/>
      <c r="M23" s="41"/>
      <c r="N23" s="17"/>
      <c r="O23" s="17"/>
      <c r="P23" s="17"/>
      <c r="Q23" s="17"/>
      <c r="R23" s="17"/>
      <c r="S23" s="4">
        <f t="shared" si="0"/>
        <v>0</v>
      </c>
      <c r="T23" s="54">
        <f t="shared" si="1"/>
        <v>0</v>
      </c>
      <c r="U23" s="55" t="str">
        <f t="shared" si="2"/>
        <v>NE</v>
      </c>
    </row>
    <row r="24" spans="1:22" ht="17.850000000000001" customHeight="1">
      <c r="A24" s="44">
        <v>12</v>
      </c>
      <c r="B24" s="58" t="s">
        <v>56</v>
      </c>
      <c r="C24" s="66" t="s">
        <v>57</v>
      </c>
      <c r="D24" s="40"/>
      <c r="E24" s="40"/>
      <c r="F24" s="40"/>
      <c r="G24" s="17"/>
      <c r="H24" s="17"/>
      <c r="I24" s="41"/>
      <c r="J24" s="67"/>
      <c r="K24" s="67"/>
      <c r="L24" s="41"/>
      <c r="M24" s="41"/>
      <c r="N24" s="17"/>
      <c r="O24" s="17"/>
      <c r="P24" s="17"/>
      <c r="Q24" s="17"/>
      <c r="R24" s="17"/>
      <c r="S24" s="4">
        <f t="shared" si="0"/>
        <v>0</v>
      </c>
      <c r="T24" s="54">
        <f t="shared" si="1"/>
        <v>0</v>
      </c>
      <c r="U24" s="55" t="str">
        <f t="shared" si="2"/>
        <v>NE</v>
      </c>
    </row>
    <row r="25" spans="1:22" ht="17.850000000000001" customHeight="1">
      <c r="A25" s="44">
        <v>13</v>
      </c>
      <c r="B25" s="58" t="s">
        <v>58</v>
      </c>
      <c r="C25" s="66" t="s">
        <v>59</v>
      </c>
      <c r="D25" s="40"/>
      <c r="E25" s="40"/>
      <c r="F25" s="40"/>
      <c r="G25" s="17"/>
      <c r="H25" s="17"/>
      <c r="I25" s="41"/>
      <c r="J25" s="67"/>
      <c r="K25" s="67"/>
      <c r="L25" s="41"/>
      <c r="M25" s="41"/>
      <c r="N25" s="17"/>
      <c r="O25" s="17"/>
      <c r="P25" s="17"/>
      <c r="Q25" s="17"/>
      <c r="R25" s="17"/>
      <c r="S25" s="4">
        <f t="shared" si="0"/>
        <v>0</v>
      </c>
      <c r="T25" s="54">
        <f t="shared" si="1"/>
        <v>0</v>
      </c>
      <c r="U25" s="55" t="str">
        <f t="shared" si="2"/>
        <v>NE</v>
      </c>
    </row>
    <row r="26" spans="1:22" ht="17.850000000000001" customHeight="1">
      <c r="A26" s="44">
        <v>14</v>
      </c>
      <c r="B26" s="58" t="s">
        <v>60</v>
      </c>
      <c r="C26" s="66" t="s">
        <v>61</v>
      </c>
      <c r="D26" s="40"/>
      <c r="E26" s="40"/>
      <c r="F26" s="40"/>
      <c r="G26" s="17"/>
      <c r="H26" s="17"/>
      <c r="I26" s="41"/>
      <c r="J26" s="67"/>
      <c r="K26" s="67"/>
      <c r="L26" s="41"/>
      <c r="M26" s="41"/>
      <c r="N26" s="17"/>
      <c r="O26" s="17"/>
      <c r="P26" s="17"/>
      <c r="Q26" s="17"/>
      <c r="R26" s="17"/>
      <c r="S26" s="4">
        <f t="shared" si="0"/>
        <v>0</v>
      </c>
      <c r="T26" s="54">
        <f t="shared" si="1"/>
        <v>0</v>
      </c>
      <c r="U26" s="55" t="str">
        <f t="shared" si="2"/>
        <v>NE</v>
      </c>
    </row>
    <row r="27" spans="1:22" ht="17.850000000000001" customHeight="1">
      <c r="A27" s="44">
        <v>15</v>
      </c>
      <c r="B27" s="58" t="s">
        <v>62</v>
      </c>
      <c r="C27" s="66" t="s">
        <v>63</v>
      </c>
      <c r="D27" s="40"/>
      <c r="E27" s="40"/>
      <c r="F27" s="40"/>
      <c r="G27" s="17"/>
      <c r="H27" s="17"/>
      <c r="I27" s="41"/>
      <c r="J27" s="67"/>
      <c r="K27" s="67"/>
      <c r="L27" s="41"/>
      <c r="M27" s="41"/>
      <c r="N27" s="17"/>
      <c r="O27" s="17"/>
      <c r="P27" s="17"/>
      <c r="Q27" s="17"/>
      <c r="R27" s="17"/>
      <c r="S27" s="4">
        <f t="shared" si="0"/>
        <v>0</v>
      </c>
      <c r="T27" s="54">
        <f t="shared" si="1"/>
        <v>0</v>
      </c>
      <c r="U27" s="55" t="str">
        <f t="shared" si="2"/>
        <v>NE</v>
      </c>
    </row>
    <row r="28" spans="1:22" ht="17.850000000000001" customHeight="1">
      <c r="A28" s="44">
        <v>16</v>
      </c>
      <c r="B28" s="58" t="s">
        <v>64</v>
      </c>
      <c r="C28" s="66" t="s">
        <v>65</v>
      </c>
      <c r="D28" s="40"/>
      <c r="E28" s="40"/>
      <c r="F28" s="40"/>
      <c r="G28" s="17"/>
      <c r="H28" s="17"/>
      <c r="I28" s="41"/>
      <c r="J28" s="67"/>
      <c r="K28" s="67"/>
      <c r="L28" s="41"/>
      <c r="M28" s="41"/>
      <c r="N28" s="17"/>
      <c r="O28" s="17"/>
      <c r="P28" s="17"/>
      <c r="Q28" s="17"/>
      <c r="R28" s="17"/>
      <c r="S28" s="4">
        <f t="shared" si="0"/>
        <v>0</v>
      </c>
      <c r="T28" s="54">
        <f t="shared" si="1"/>
        <v>0</v>
      </c>
      <c r="U28" s="55" t="str">
        <f t="shared" si="2"/>
        <v>NE</v>
      </c>
    </row>
    <row r="29" spans="1:22" ht="17.850000000000001" customHeight="1">
      <c r="A29" s="44">
        <v>17</v>
      </c>
      <c r="B29" s="58" t="s">
        <v>66</v>
      </c>
      <c r="C29" s="66" t="s">
        <v>67</v>
      </c>
      <c r="D29" s="40"/>
      <c r="E29" s="40"/>
      <c r="F29" s="40"/>
      <c r="G29" s="17"/>
      <c r="H29" s="17"/>
      <c r="I29" s="41"/>
      <c r="J29" s="67"/>
      <c r="K29" s="67"/>
      <c r="L29" s="41"/>
      <c r="M29" s="41"/>
      <c r="N29" s="17"/>
      <c r="O29" s="17"/>
      <c r="P29" s="17"/>
      <c r="Q29" s="17"/>
      <c r="R29" s="17"/>
      <c r="S29" s="4">
        <f t="shared" si="0"/>
        <v>0</v>
      </c>
      <c r="T29" s="54">
        <f t="shared" si="1"/>
        <v>0</v>
      </c>
      <c r="U29" s="55" t="str">
        <f t="shared" si="2"/>
        <v>NE</v>
      </c>
    </row>
    <row r="30" spans="1:22" ht="17.850000000000001" customHeight="1">
      <c r="A30" s="44">
        <v>18</v>
      </c>
      <c r="B30" s="58" t="s">
        <v>68</v>
      </c>
      <c r="C30" s="66" t="s">
        <v>69</v>
      </c>
      <c r="D30" s="40"/>
      <c r="E30" s="40"/>
      <c r="F30" s="40"/>
      <c r="G30" s="17"/>
      <c r="H30" s="17"/>
      <c r="I30" s="41"/>
      <c r="J30" s="67"/>
      <c r="K30" s="67"/>
      <c r="L30" s="41"/>
      <c r="M30" s="41"/>
      <c r="N30" s="17"/>
      <c r="O30" s="17"/>
      <c r="P30" s="17"/>
      <c r="Q30" s="17"/>
      <c r="R30" s="17"/>
      <c r="S30" s="4">
        <f t="shared" si="0"/>
        <v>0</v>
      </c>
      <c r="T30" s="54">
        <f t="shared" si="1"/>
        <v>0</v>
      </c>
      <c r="U30" s="55" t="str">
        <f t="shared" si="2"/>
        <v>NE</v>
      </c>
    </row>
    <row r="31" spans="1:22" ht="17.850000000000001" customHeight="1">
      <c r="A31" s="44">
        <v>19</v>
      </c>
      <c r="B31" s="58" t="s">
        <v>70</v>
      </c>
      <c r="C31" s="66" t="s">
        <v>71</v>
      </c>
      <c r="D31" s="40"/>
      <c r="E31" s="40"/>
      <c r="F31" s="40"/>
      <c r="G31" s="17"/>
      <c r="H31" s="17"/>
      <c r="I31" s="41"/>
      <c r="J31" s="67"/>
      <c r="K31" s="67"/>
      <c r="L31" s="41"/>
      <c r="M31" s="41"/>
      <c r="N31" s="17"/>
      <c r="O31" s="17"/>
      <c r="P31" s="17"/>
      <c r="Q31" s="17"/>
      <c r="R31" s="17"/>
      <c r="S31" s="4">
        <f t="shared" si="0"/>
        <v>0</v>
      </c>
      <c r="T31" s="54">
        <f t="shared" si="1"/>
        <v>0</v>
      </c>
      <c r="U31" s="55" t="str">
        <f t="shared" si="2"/>
        <v>NE</v>
      </c>
    </row>
    <row r="32" spans="1:22" ht="17.850000000000001" customHeight="1">
      <c r="A32" s="44">
        <v>20</v>
      </c>
      <c r="B32" s="58" t="s">
        <v>72</v>
      </c>
      <c r="C32" s="66" t="s">
        <v>73</v>
      </c>
      <c r="D32" s="40"/>
      <c r="E32" s="40"/>
      <c r="F32" s="40"/>
      <c r="G32" s="17"/>
      <c r="H32" s="17"/>
      <c r="I32" s="41"/>
      <c r="J32" s="67"/>
      <c r="K32" s="67"/>
      <c r="L32" s="41"/>
      <c r="M32" s="41"/>
      <c r="N32" s="17"/>
      <c r="O32" s="17"/>
      <c r="P32" s="17"/>
      <c r="Q32" s="17"/>
      <c r="R32" s="17"/>
      <c r="S32" s="4">
        <f t="shared" si="0"/>
        <v>0</v>
      </c>
      <c r="T32" s="54">
        <f t="shared" si="1"/>
        <v>0</v>
      </c>
      <c r="U32" s="55" t="str">
        <f t="shared" si="2"/>
        <v>NE</v>
      </c>
    </row>
    <row r="33" spans="1:22" ht="17.850000000000001" customHeight="1">
      <c r="A33" s="44">
        <v>21</v>
      </c>
      <c r="B33" s="58" t="s">
        <v>74</v>
      </c>
      <c r="C33" s="66" t="s">
        <v>75</v>
      </c>
      <c r="D33" s="40"/>
      <c r="E33" s="40"/>
      <c r="F33" s="40"/>
      <c r="G33" s="17"/>
      <c r="H33" s="17"/>
      <c r="I33" s="41"/>
      <c r="J33" s="67"/>
      <c r="K33" s="67"/>
      <c r="L33" s="41"/>
      <c r="M33" s="41"/>
      <c r="N33" s="17"/>
      <c r="O33" s="17"/>
      <c r="P33" s="17"/>
      <c r="Q33" s="17"/>
      <c r="R33" s="17"/>
      <c r="S33" s="4">
        <f t="shared" si="0"/>
        <v>0</v>
      </c>
      <c r="T33" s="54">
        <f t="shared" si="1"/>
        <v>0</v>
      </c>
      <c r="U33" s="55" t="str">
        <f t="shared" si="2"/>
        <v>NE</v>
      </c>
    </row>
    <row r="34" spans="1:22" ht="17.850000000000001" customHeight="1">
      <c r="A34" s="44">
        <v>22</v>
      </c>
      <c r="B34" s="58" t="s">
        <v>76</v>
      </c>
      <c r="C34" s="66" t="s">
        <v>77</v>
      </c>
      <c r="D34" s="40"/>
      <c r="E34" s="40"/>
      <c r="F34" s="40"/>
      <c r="G34" s="17"/>
      <c r="H34" s="17"/>
      <c r="I34" s="41"/>
      <c r="J34" s="67"/>
      <c r="K34" s="67"/>
      <c r="L34" s="41"/>
      <c r="M34" s="41"/>
      <c r="N34" s="17"/>
      <c r="O34" s="17"/>
      <c r="P34" s="17"/>
      <c r="Q34" s="17"/>
      <c r="R34" s="17"/>
      <c r="S34" s="4">
        <f t="shared" si="0"/>
        <v>0</v>
      </c>
      <c r="T34" s="54">
        <f t="shared" si="1"/>
        <v>0</v>
      </c>
      <c r="U34" s="55" t="str">
        <f t="shared" si="2"/>
        <v>NE</v>
      </c>
    </row>
    <row r="35" spans="1:22" ht="17.850000000000001" customHeight="1">
      <c r="A35" s="44">
        <v>23</v>
      </c>
      <c r="B35" s="58" t="s">
        <v>78</v>
      </c>
      <c r="C35" s="66" t="s">
        <v>79</v>
      </c>
      <c r="D35" s="40"/>
      <c r="E35" s="40"/>
      <c r="F35" s="40"/>
      <c r="G35" s="17"/>
      <c r="H35" s="17"/>
      <c r="I35" s="41"/>
      <c r="J35" s="67"/>
      <c r="K35" s="67"/>
      <c r="L35" s="41"/>
      <c r="M35" s="41"/>
      <c r="N35" s="17"/>
      <c r="O35" s="17"/>
      <c r="P35" s="17"/>
      <c r="Q35" s="17"/>
      <c r="R35" s="17"/>
      <c r="S35" s="4">
        <f t="shared" si="0"/>
        <v>0</v>
      </c>
      <c r="T35" s="54">
        <f t="shared" si="1"/>
        <v>0</v>
      </c>
      <c r="U35" s="55" t="str">
        <f t="shared" si="2"/>
        <v>NE</v>
      </c>
    </row>
    <row r="36" spans="1:22" ht="17.850000000000001" customHeight="1">
      <c r="A36" s="44">
        <v>24</v>
      </c>
      <c r="B36" s="58" t="s">
        <v>80</v>
      </c>
      <c r="C36" s="66" t="s">
        <v>81</v>
      </c>
      <c r="D36" s="40"/>
      <c r="E36" s="40"/>
      <c r="F36" s="40"/>
      <c r="G36" s="17"/>
      <c r="H36" s="17"/>
      <c r="I36" s="41"/>
      <c r="J36" s="67"/>
      <c r="K36" s="67"/>
      <c r="L36" s="41"/>
      <c r="M36" s="41"/>
      <c r="N36" s="17"/>
      <c r="O36" s="17"/>
      <c r="P36" s="17"/>
      <c r="Q36" s="17"/>
      <c r="R36" s="17"/>
      <c r="S36" s="4">
        <f t="shared" si="0"/>
        <v>0</v>
      </c>
      <c r="T36" s="54">
        <f t="shared" si="1"/>
        <v>0</v>
      </c>
      <c r="U36" s="55" t="str">
        <f t="shared" si="2"/>
        <v>NE</v>
      </c>
    </row>
    <row r="37" spans="1:22" ht="17.850000000000001" customHeight="1">
      <c r="A37" s="44">
        <v>25</v>
      </c>
      <c r="B37" s="58" t="s">
        <v>82</v>
      </c>
      <c r="C37" s="66" t="s">
        <v>83</v>
      </c>
      <c r="D37" s="17"/>
      <c r="E37" s="17"/>
      <c r="F37" s="17"/>
      <c r="G37" s="17"/>
      <c r="H37" s="17"/>
      <c r="I37" s="41"/>
      <c r="J37" s="67"/>
      <c r="K37" s="67"/>
      <c r="L37" s="41"/>
      <c r="M37" s="41"/>
      <c r="N37" s="17"/>
      <c r="O37" s="17"/>
      <c r="P37" s="17"/>
      <c r="Q37" s="17"/>
      <c r="R37" s="17"/>
      <c r="S37" s="4">
        <f t="shared" si="0"/>
        <v>0</v>
      </c>
      <c r="T37" s="54">
        <f t="shared" si="1"/>
        <v>0</v>
      </c>
      <c r="U37" s="55" t="str">
        <f t="shared" si="2"/>
        <v>NE</v>
      </c>
      <c r="V37" s="56" t="s">
        <v>27</v>
      </c>
    </row>
    <row r="38" spans="1:22" ht="17.850000000000001" customHeight="1">
      <c r="A38" s="44">
        <v>26</v>
      </c>
      <c r="B38" s="58" t="s">
        <v>84</v>
      </c>
      <c r="C38" s="66" t="s">
        <v>85</v>
      </c>
      <c r="D38" s="40"/>
      <c r="E38" s="40"/>
      <c r="F38" s="40"/>
      <c r="G38" s="17"/>
      <c r="H38" s="17"/>
      <c r="I38" s="41"/>
      <c r="J38" s="67"/>
      <c r="K38" s="67"/>
      <c r="L38" s="41"/>
      <c r="M38" s="41"/>
      <c r="N38" s="17"/>
      <c r="O38" s="17"/>
      <c r="P38" s="17"/>
      <c r="Q38" s="17"/>
      <c r="R38" s="17"/>
      <c r="S38" s="4">
        <f t="shared" si="0"/>
        <v>0</v>
      </c>
      <c r="T38" s="54">
        <f t="shared" si="1"/>
        <v>0</v>
      </c>
      <c r="U38" s="55" t="str">
        <f t="shared" si="2"/>
        <v>NE</v>
      </c>
    </row>
    <row r="39" spans="1:22" ht="17.850000000000001" customHeight="1">
      <c r="A39" s="44">
        <v>27</v>
      </c>
      <c r="B39" s="58" t="s">
        <v>86</v>
      </c>
      <c r="C39" s="66" t="s">
        <v>87</v>
      </c>
      <c r="D39" s="40"/>
      <c r="E39" s="40"/>
      <c r="F39" s="40"/>
      <c r="G39" s="17"/>
      <c r="H39" s="17"/>
      <c r="I39" s="41"/>
      <c r="J39" s="67"/>
      <c r="K39" s="67"/>
      <c r="L39" s="41"/>
      <c r="M39" s="41"/>
      <c r="N39" s="17"/>
      <c r="O39" s="17"/>
      <c r="P39" s="17"/>
      <c r="Q39" s="17"/>
      <c r="R39" s="17"/>
      <c r="S39" s="4">
        <f t="shared" si="0"/>
        <v>0</v>
      </c>
      <c r="T39" s="54">
        <f t="shared" si="1"/>
        <v>0</v>
      </c>
      <c r="U39" s="55" t="str">
        <f t="shared" si="2"/>
        <v>NE</v>
      </c>
    </row>
    <row r="40" spans="1:22" ht="17.850000000000001" customHeight="1">
      <c r="A40" s="44">
        <v>28</v>
      </c>
      <c r="B40" s="58" t="s">
        <v>88</v>
      </c>
      <c r="C40" s="66" t="s">
        <v>89</v>
      </c>
      <c r="D40" s="40"/>
      <c r="E40" s="40"/>
      <c r="F40" s="40"/>
      <c r="G40" s="17"/>
      <c r="H40" s="17"/>
      <c r="I40" s="41"/>
      <c r="J40" s="67"/>
      <c r="K40" s="67"/>
      <c r="L40" s="41"/>
      <c r="M40" s="41"/>
      <c r="N40" s="17"/>
      <c r="O40" s="17"/>
      <c r="P40" s="17"/>
      <c r="Q40" s="17"/>
      <c r="R40" s="17"/>
      <c r="S40" s="4">
        <f t="shared" si="0"/>
        <v>0</v>
      </c>
      <c r="T40" s="54">
        <f t="shared" si="1"/>
        <v>0</v>
      </c>
      <c r="U40" s="55" t="str">
        <f t="shared" si="2"/>
        <v>NE</v>
      </c>
    </row>
    <row r="41" spans="1:22" ht="17.850000000000001" customHeight="1">
      <c r="A41" s="44">
        <v>29</v>
      </c>
      <c r="B41" s="58" t="s">
        <v>90</v>
      </c>
      <c r="C41" s="66" t="s">
        <v>91</v>
      </c>
      <c r="D41" s="40"/>
      <c r="E41" s="40"/>
      <c r="F41" s="40"/>
      <c r="G41" s="17"/>
      <c r="H41" s="17"/>
      <c r="I41" s="41"/>
      <c r="J41" s="67"/>
      <c r="K41" s="67"/>
      <c r="L41" s="41"/>
      <c r="M41" s="41"/>
      <c r="N41" s="17"/>
      <c r="O41" s="17"/>
      <c r="P41" s="17"/>
      <c r="Q41" s="17"/>
      <c r="R41" s="17"/>
      <c r="S41" s="4">
        <f t="shared" si="0"/>
        <v>0</v>
      </c>
      <c r="T41" s="54">
        <f t="shared" si="1"/>
        <v>0</v>
      </c>
      <c r="U41" s="55" t="str">
        <f t="shared" si="2"/>
        <v>NE</v>
      </c>
    </row>
    <row r="42" spans="1:22" ht="17.850000000000001" customHeight="1">
      <c r="A42" s="44">
        <v>30</v>
      </c>
      <c r="B42" s="58" t="s">
        <v>92</v>
      </c>
      <c r="C42" s="66" t="s">
        <v>93</v>
      </c>
      <c r="D42" s="40"/>
      <c r="E42" s="40"/>
      <c r="F42" s="40"/>
      <c r="G42" s="17"/>
      <c r="H42" s="17"/>
      <c r="I42" s="41"/>
      <c r="J42" s="67"/>
      <c r="K42" s="67"/>
      <c r="L42" s="41"/>
      <c r="M42" s="41"/>
      <c r="N42" s="17"/>
      <c r="O42" s="17"/>
      <c r="P42" s="17"/>
      <c r="Q42" s="17"/>
      <c r="R42" s="17"/>
      <c r="S42" s="4">
        <f t="shared" si="0"/>
        <v>0</v>
      </c>
      <c r="T42" s="54">
        <f t="shared" si="1"/>
        <v>0</v>
      </c>
      <c r="U42" s="55" t="str">
        <f t="shared" si="2"/>
        <v>NE</v>
      </c>
    </row>
    <row r="43" spans="1:22" ht="17.850000000000001" customHeight="1">
      <c r="A43" s="44">
        <v>31</v>
      </c>
      <c r="B43" s="58" t="s">
        <v>94</v>
      </c>
      <c r="C43" s="66" t="s">
        <v>95</v>
      </c>
      <c r="D43" s="40"/>
      <c r="E43" s="40"/>
      <c r="F43" s="40"/>
      <c r="G43" s="17"/>
      <c r="H43" s="17"/>
      <c r="I43" s="41"/>
      <c r="J43" s="67"/>
      <c r="K43" s="67"/>
      <c r="L43" s="41"/>
      <c r="M43" s="41"/>
      <c r="N43" s="17"/>
      <c r="O43" s="17"/>
      <c r="P43" s="17"/>
      <c r="Q43" s="17"/>
      <c r="R43" s="17"/>
      <c r="S43" s="4">
        <f t="shared" si="0"/>
        <v>0</v>
      </c>
      <c r="T43" s="54">
        <f t="shared" si="1"/>
        <v>0</v>
      </c>
      <c r="U43" s="55" t="str">
        <f t="shared" si="2"/>
        <v>NE</v>
      </c>
    </row>
    <row r="44" spans="1:22" ht="17.850000000000001" customHeight="1">
      <c r="A44" s="44">
        <v>32</v>
      </c>
      <c r="B44" s="68" t="s">
        <v>96</v>
      </c>
      <c r="C44" s="70" t="s">
        <v>97</v>
      </c>
      <c r="D44" s="40"/>
      <c r="E44" s="40"/>
      <c r="F44" s="40"/>
      <c r="G44" s="17"/>
      <c r="H44" s="17"/>
      <c r="I44" s="41"/>
      <c r="J44" s="67"/>
      <c r="K44" s="67"/>
      <c r="L44" s="41"/>
      <c r="M44" s="41"/>
      <c r="N44" s="17"/>
      <c r="O44" s="17"/>
      <c r="P44" s="17"/>
      <c r="Q44" s="17"/>
      <c r="R44" s="17"/>
      <c r="S44" s="4">
        <f t="shared" si="0"/>
        <v>0</v>
      </c>
      <c r="T44" s="54">
        <f t="shared" si="1"/>
        <v>0</v>
      </c>
      <c r="U44" s="55" t="str">
        <f t="shared" si="2"/>
        <v>NE</v>
      </c>
    </row>
    <row r="45" spans="1:22" ht="17.850000000000001" customHeight="1">
      <c r="A45" s="44">
        <v>33</v>
      </c>
      <c r="B45" s="58" t="s">
        <v>98</v>
      </c>
      <c r="C45" s="66" t="s">
        <v>99</v>
      </c>
      <c r="D45" s="40"/>
      <c r="E45" s="40"/>
      <c r="F45" s="40"/>
      <c r="G45" s="17"/>
      <c r="H45" s="17"/>
      <c r="I45" s="41"/>
      <c r="J45" s="67"/>
      <c r="K45" s="67"/>
      <c r="L45" s="41"/>
      <c r="M45" s="41"/>
      <c r="N45" s="17"/>
      <c r="O45" s="17"/>
      <c r="P45" s="17"/>
      <c r="Q45" s="17"/>
      <c r="R45" s="17"/>
      <c r="S45" s="4">
        <f t="shared" ref="S45:S76" si="3">COUNTIF(D45:R45,"P")</f>
        <v>0</v>
      </c>
      <c r="T45" s="54">
        <f t="shared" ref="T45:T76" si="4">ROUND(SUM(S45/15*100),0)</f>
        <v>0</v>
      </c>
      <c r="U45" s="55" t="str">
        <f t="shared" ref="U45:U76" si="5">IF(T45&gt;=75,"EG",IF(T45&gt;=65,"CN","NE"))</f>
        <v>NE</v>
      </c>
    </row>
    <row r="46" spans="1:22" ht="17.850000000000001" customHeight="1">
      <c r="A46" s="44">
        <v>34</v>
      </c>
      <c r="B46" s="58" t="s">
        <v>100</v>
      </c>
      <c r="C46" s="66" t="s">
        <v>101</v>
      </c>
      <c r="D46" s="40"/>
      <c r="E46" s="40"/>
      <c r="F46" s="40"/>
      <c r="G46" s="17"/>
      <c r="H46" s="17"/>
      <c r="I46" s="41"/>
      <c r="J46" s="67"/>
      <c r="K46" s="67"/>
      <c r="L46" s="41"/>
      <c r="M46" s="41"/>
      <c r="N46" s="17"/>
      <c r="O46" s="17"/>
      <c r="P46" s="17"/>
      <c r="Q46" s="17"/>
      <c r="R46" s="17"/>
      <c r="S46" s="4">
        <f t="shared" si="3"/>
        <v>0</v>
      </c>
      <c r="T46" s="54">
        <f t="shared" si="4"/>
        <v>0</v>
      </c>
      <c r="U46" s="55" t="str">
        <f t="shared" si="5"/>
        <v>NE</v>
      </c>
    </row>
    <row r="47" spans="1:22" ht="17.850000000000001" customHeight="1">
      <c r="A47" s="44">
        <v>35</v>
      </c>
      <c r="B47" s="58" t="s">
        <v>102</v>
      </c>
      <c r="C47" s="66" t="s">
        <v>103</v>
      </c>
      <c r="D47" s="40"/>
      <c r="E47" s="40"/>
      <c r="F47" s="40"/>
      <c r="G47" s="17"/>
      <c r="H47" s="17"/>
      <c r="I47" s="41"/>
      <c r="J47" s="67"/>
      <c r="K47" s="67"/>
      <c r="L47" s="41"/>
      <c r="M47" s="41"/>
      <c r="N47" s="17"/>
      <c r="O47" s="17"/>
      <c r="P47" s="17"/>
      <c r="Q47" s="17"/>
      <c r="R47" s="17"/>
      <c r="S47" s="4">
        <f t="shared" si="3"/>
        <v>0</v>
      </c>
      <c r="T47" s="54">
        <f t="shared" si="4"/>
        <v>0</v>
      </c>
      <c r="U47" s="55" t="str">
        <f t="shared" si="5"/>
        <v>NE</v>
      </c>
    </row>
    <row r="48" spans="1:22" ht="17.850000000000001" customHeight="1">
      <c r="A48" s="44">
        <v>36</v>
      </c>
      <c r="B48" s="58" t="s">
        <v>104</v>
      </c>
      <c r="C48" s="66" t="s">
        <v>105</v>
      </c>
      <c r="D48" s="40"/>
      <c r="E48" s="40"/>
      <c r="F48" s="40"/>
      <c r="G48" s="17"/>
      <c r="H48" s="17"/>
      <c r="I48" s="41"/>
      <c r="J48" s="67"/>
      <c r="K48" s="67"/>
      <c r="L48" s="41"/>
      <c r="M48" s="41"/>
      <c r="N48" s="17"/>
      <c r="O48" s="17"/>
      <c r="P48" s="17"/>
      <c r="Q48" s="17"/>
      <c r="R48" s="17"/>
      <c r="S48" s="4">
        <f t="shared" si="3"/>
        <v>0</v>
      </c>
      <c r="T48" s="54">
        <f t="shared" si="4"/>
        <v>0</v>
      </c>
      <c r="U48" s="55" t="str">
        <f t="shared" si="5"/>
        <v>NE</v>
      </c>
    </row>
    <row r="49" spans="1:21" ht="17.850000000000001" customHeight="1">
      <c r="A49" s="44">
        <v>37</v>
      </c>
      <c r="B49" s="58" t="s">
        <v>106</v>
      </c>
      <c r="C49" s="66" t="s">
        <v>107</v>
      </c>
      <c r="D49" s="40"/>
      <c r="E49" s="40"/>
      <c r="F49" s="40"/>
      <c r="G49" s="17"/>
      <c r="H49" s="17"/>
      <c r="I49" s="41"/>
      <c r="J49" s="67"/>
      <c r="K49" s="67"/>
      <c r="L49" s="41"/>
      <c r="M49" s="41"/>
      <c r="N49" s="17"/>
      <c r="O49" s="17"/>
      <c r="P49" s="17"/>
      <c r="Q49" s="17"/>
      <c r="R49" s="17"/>
      <c r="S49" s="4">
        <f t="shared" si="3"/>
        <v>0</v>
      </c>
      <c r="T49" s="54">
        <f t="shared" si="4"/>
        <v>0</v>
      </c>
      <c r="U49" s="55" t="str">
        <f t="shared" si="5"/>
        <v>NE</v>
      </c>
    </row>
    <row r="50" spans="1:21" ht="17.850000000000001" customHeight="1">
      <c r="A50" s="44">
        <v>38</v>
      </c>
      <c r="B50" s="58" t="s">
        <v>108</v>
      </c>
      <c r="C50" s="66" t="s">
        <v>109</v>
      </c>
      <c r="D50" s="40"/>
      <c r="E50" s="40"/>
      <c r="F50" s="40"/>
      <c r="G50" s="17"/>
      <c r="H50" s="17"/>
      <c r="I50" s="41"/>
      <c r="J50" s="67"/>
      <c r="K50" s="67"/>
      <c r="L50" s="41"/>
      <c r="M50" s="41"/>
      <c r="N50" s="17"/>
      <c r="O50" s="17"/>
      <c r="P50" s="17"/>
      <c r="Q50" s="17"/>
      <c r="R50" s="17"/>
      <c r="S50" s="4">
        <f t="shared" si="3"/>
        <v>0</v>
      </c>
      <c r="T50" s="54">
        <f t="shared" si="4"/>
        <v>0</v>
      </c>
      <c r="U50" s="55" t="str">
        <f t="shared" si="5"/>
        <v>NE</v>
      </c>
    </row>
    <row r="51" spans="1:21" ht="17.850000000000001" customHeight="1">
      <c r="A51" s="44">
        <v>39</v>
      </c>
      <c r="B51" s="58" t="s">
        <v>110</v>
      </c>
      <c r="C51" s="66" t="s">
        <v>111</v>
      </c>
      <c r="D51" s="40"/>
      <c r="E51" s="40"/>
      <c r="F51" s="40"/>
      <c r="G51" s="17"/>
      <c r="H51" s="17"/>
      <c r="I51" s="41"/>
      <c r="J51" s="67"/>
      <c r="K51" s="67"/>
      <c r="L51" s="41"/>
      <c r="M51" s="41"/>
      <c r="N51" s="17"/>
      <c r="O51" s="17"/>
      <c r="P51" s="17"/>
      <c r="Q51" s="17"/>
      <c r="R51" s="17"/>
      <c r="S51" s="4">
        <f t="shared" si="3"/>
        <v>0</v>
      </c>
      <c r="T51" s="54">
        <f t="shared" si="4"/>
        <v>0</v>
      </c>
      <c r="U51" s="55" t="str">
        <f t="shared" si="5"/>
        <v>NE</v>
      </c>
    </row>
    <row r="52" spans="1:21" ht="17.850000000000001" customHeight="1">
      <c r="A52" s="44">
        <v>40</v>
      </c>
      <c r="B52" s="58" t="s">
        <v>112</v>
      </c>
      <c r="C52" s="66" t="s">
        <v>113</v>
      </c>
      <c r="D52" s="40"/>
      <c r="E52" s="40"/>
      <c r="F52" s="40"/>
      <c r="G52" s="17"/>
      <c r="H52" s="17"/>
      <c r="I52" s="41"/>
      <c r="J52" s="67"/>
      <c r="K52" s="67"/>
      <c r="L52" s="41"/>
      <c r="M52" s="41"/>
      <c r="N52" s="17"/>
      <c r="O52" s="17"/>
      <c r="P52" s="17"/>
      <c r="Q52" s="17"/>
      <c r="R52" s="17"/>
      <c r="S52" s="4">
        <f t="shared" si="3"/>
        <v>0</v>
      </c>
      <c r="T52" s="54">
        <f t="shared" si="4"/>
        <v>0</v>
      </c>
      <c r="U52" s="55" t="str">
        <f t="shared" si="5"/>
        <v>NE</v>
      </c>
    </row>
    <row r="53" spans="1:21" ht="17.850000000000001" customHeight="1">
      <c r="A53" s="44">
        <v>41</v>
      </c>
      <c r="B53" s="58" t="s">
        <v>114</v>
      </c>
      <c r="C53" s="66" t="s">
        <v>115</v>
      </c>
      <c r="D53" s="40"/>
      <c r="E53" s="40"/>
      <c r="F53" s="40"/>
      <c r="G53" s="17"/>
      <c r="H53" s="17"/>
      <c r="I53" s="41"/>
      <c r="J53" s="67"/>
      <c r="K53" s="67"/>
      <c r="L53" s="41"/>
      <c r="M53" s="41"/>
      <c r="N53" s="17"/>
      <c r="O53" s="17"/>
      <c r="P53" s="17"/>
      <c r="Q53" s="17"/>
      <c r="R53" s="17"/>
      <c r="S53" s="4">
        <f t="shared" si="3"/>
        <v>0</v>
      </c>
      <c r="T53" s="54">
        <f t="shared" si="4"/>
        <v>0</v>
      </c>
      <c r="U53" s="55" t="str">
        <f t="shared" si="5"/>
        <v>NE</v>
      </c>
    </row>
    <row r="54" spans="1:21" ht="17.850000000000001" customHeight="1">
      <c r="A54" s="44">
        <v>42</v>
      </c>
      <c r="B54" s="58" t="s">
        <v>116</v>
      </c>
      <c r="C54" s="66" t="s">
        <v>117</v>
      </c>
      <c r="D54" s="40"/>
      <c r="E54" s="40"/>
      <c r="F54" s="40"/>
      <c r="G54" s="17"/>
      <c r="H54" s="17"/>
      <c r="I54" s="41"/>
      <c r="J54" s="67"/>
      <c r="K54" s="67"/>
      <c r="L54" s="41"/>
      <c r="M54" s="41"/>
      <c r="N54" s="17"/>
      <c r="O54" s="17"/>
      <c r="P54" s="17"/>
      <c r="Q54" s="17"/>
      <c r="R54" s="17"/>
      <c r="S54" s="4">
        <f t="shared" si="3"/>
        <v>0</v>
      </c>
      <c r="T54" s="54">
        <f t="shared" si="4"/>
        <v>0</v>
      </c>
      <c r="U54" s="55" t="str">
        <f t="shared" si="5"/>
        <v>NE</v>
      </c>
    </row>
    <row r="55" spans="1:21" ht="17.850000000000001" customHeight="1">
      <c r="A55" s="44">
        <v>43</v>
      </c>
      <c r="B55" s="58" t="s">
        <v>118</v>
      </c>
      <c r="C55" s="66" t="s">
        <v>119</v>
      </c>
      <c r="D55" s="40"/>
      <c r="E55" s="40"/>
      <c r="F55" s="40"/>
      <c r="G55" s="17"/>
      <c r="H55" s="17"/>
      <c r="I55" s="41"/>
      <c r="J55" s="67"/>
      <c r="K55" s="67"/>
      <c r="L55" s="41"/>
      <c r="M55" s="41"/>
      <c r="N55" s="17"/>
      <c r="O55" s="17"/>
      <c r="P55" s="17"/>
      <c r="Q55" s="17"/>
      <c r="R55" s="17"/>
      <c r="S55" s="4">
        <f t="shared" si="3"/>
        <v>0</v>
      </c>
      <c r="T55" s="54">
        <f t="shared" si="4"/>
        <v>0</v>
      </c>
      <c r="U55" s="55" t="str">
        <f t="shared" si="5"/>
        <v>NE</v>
      </c>
    </row>
    <row r="56" spans="1:21" ht="17.850000000000001" customHeight="1">
      <c r="A56" s="44">
        <v>44</v>
      </c>
      <c r="B56" s="58" t="s">
        <v>120</v>
      </c>
      <c r="C56" s="66" t="s">
        <v>121</v>
      </c>
      <c r="D56" s="40"/>
      <c r="E56" s="40"/>
      <c r="F56" s="40"/>
      <c r="G56" s="17"/>
      <c r="H56" s="17"/>
      <c r="I56" s="41"/>
      <c r="J56" s="67"/>
      <c r="K56" s="67"/>
      <c r="L56" s="41"/>
      <c r="M56" s="41"/>
      <c r="N56" s="17"/>
      <c r="O56" s="17"/>
      <c r="P56" s="17"/>
      <c r="Q56" s="17"/>
      <c r="R56" s="17"/>
      <c r="S56" s="4">
        <f t="shared" si="3"/>
        <v>0</v>
      </c>
      <c r="T56" s="54">
        <f t="shared" si="4"/>
        <v>0</v>
      </c>
      <c r="U56" s="55" t="str">
        <f t="shared" si="5"/>
        <v>NE</v>
      </c>
    </row>
    <row r="57" spans="1:21" ht="17.850000000000001" customHeight="1">
      <c r="A57" s="44">
        <v>45</v>
      </c>
      <c r="B57" s="58" t="s">
        <v>122</v>
      </c>
      <c r="C57" s="66" t="s">
        <v>123</v>
      </c>
      <c r="D57" s="40"/>
      <c r="E57" s="40"/>
      <c r="F57" s="40"/>
      <c r="G57" s="17"/>
      <c r="H57" s="17"/>
      <c r="I57" s="41"/>
      <c r="J57" s="67"/>
      <c r="K57" s="67"/>
      <c r="L57" s="41"/>
      <c r="M57" s="41"/>
      <c r="N57" s="17"/>
      <c r="O57" s="17"/>
      <c r="P57" s="17"/>
      <c r="Q57" s="17"/>
      <c r="R57" s="17"/>
      <c r="S57" s="4">
        <f t="shared" si="3"/>
        <v>0</v>
      </c>
      <c r="T57" s="54">
        <f t="shared" si="4"/>
        <v>0</v>
      </c>
      <c r="U57" s="55" t="str">
        <f t="shared" si="5"/>
        <v>NE</v>
      </c>
    </row>
    <row r="58" spans="1:21" ht="17.850000000000001" customHeight="1">
      <c r="A58" s="44">
        <v>46</v>
      </c>
      <c r="B58" s="58" t="s">
        <v>124</v>
      </c>
      <c r="C58" s="66" t="s">
        <v>125</v>
      </c>
      <c r="D58" s="40"/>
      <c r="E58" s="40"/>
      <c r="F58" s="40"/>
      <c r="G58" s="17"/>
      <c r="H58" s="17"/>
      <c r="I58" s="41"/>
      <c r="J58" s="67"/>
      <c r="K58" s="67"/>
      <c r="L58" s="41"/>
      <c r="M58" s="41"/>
      <c r="N58" s="17"/>
      <c r="O58" s="17"/>
      <c r="P58" s="17"/>
      <c r="Q58" s="17"/>
      <c r="R58" s="17"/>
      <c r="S58" s="4">
        <f t="shared" si="3"/>
        <v>0</v>
      </c>
      <c r="T58" s="54">
        <f t="shared" si="4"/>
        <v>0</v>
      </c>
      <c r="U58" s="55" t="str">
        <f t="shared" si="5"/>
        <v>NE</v>
      </c>
    </row>
    <row r="59" spans="1:21" ht="17.850000000000001" customHeight="1">
      <c r="A59" s="44">
        <v>47</v>
      </c>
      <c r="B59" s="58" t="s">
        <v>126</v>
      </c>
      <c r="C59" s="66" t="s">
        <v>127</v>
      </c>
      <c r="D59" s="40"/>
      <c r="E59" s="40"/>
      <c r="F59" s="40"/>
      <c r="G59" s="17"/>
      <c r="H59" s="17"/>
      <c r="I59" s="41"/>
      <c r="J59" s="67"/>
      <c r="K59" s="67"/>
      <c r="L59" s="41"/>
      <c r="M59" s="41"/>
      <c r="N59" s="17"/>
      <c r="O59" s="17"/>
      <c r="P59" s="17"/>
      <c r="Q59" s="17"/>
      <c r="R59" s="17"/>
      <c r="S59" s="4">
        <f t="shared" si="3"/>
        <v>0</v>
      </c>
      <c r="T59" s="54">
        <f t="shared" si="4"/>
        <v>0</v>
      </c>
      <c r="U59" s="55" t="str">
        <f t="shared" si="5"/>
        <v>NE</v>
      </c>
    </row>
    <row r="60" spans="1:21" ht="17.850000000000001" customHeight="1">
      <c r="A60" s="44">
        <v>48</v>
      </c>
      <c r="B60" s="69" t="s">
        <v>128</v>
      </c>
      <c r="C60" s="71" t="s">
        <v>129</v>
      </c>
      <c r="D60" s="40"/>
      <c r="E60" s="40"/>
      <c r="F60" s="40"/>
      <c r="G60" s="17"/>
      <c r="H60" s="17"/>
      <c r="I60" s="41"/>
      <c r="J60" s="67"/>
      <c r="K60" s="67"/>
      <c r="L60" s="41"/>
      <c r="M60" s="41"/>
      <c r="N60" s="17"/>
      <c r="O60" s="17"/>
      <c r="P60" s="17"/>
      <c r="Q60" s="17"/>
      <c r="R60" s="17"/>
      <c r="S60" s="4">
        <f t="shared" si="3"/>
        <v>0</v>
      </c>
      <c r="T60" s="54">
        <f t="shared" si="4"/>
        <v>0</v>
      </c>
      <c r="U60" s="55" t="str">
        <f t="shared" si="5"/>
        <v>NE</v>
      </c>
    </row>
    <row r="61" spans="1:21" ht="17.850000000000001" customHeight="1">
      <c r="A61" s="44">
        <v>49</v>
      </c>
      <c r="B61" s="58" t="s">
        <v>130</v>
      </c>
      <c r="C61" s="66" t="s">
        <v>131</v>
      </c>
      <c r="D61" s="40"/>
      <c r="E61" s="40"/>
      <c r="F61" s="40"/>
      <c r="G61" s="17"/>
      <c r="H61" s="17"/>
      <c r="I61" s="41"/>
      <c r="J61" s="67"/>
      <c r="K61" s="67"/>
      <c r="L61" s="41"/>
      <c r="M61" s="41"/>
      <c r="N61" s="17"/>
      <c r="O61" s="17"/>
      <c r="P61" s="17"/>
      <c r="Q61" s="17"/>
      <c r="R61" s="17"/>
      <c r="S61" s="4">
        <f t="shared" si="3"/>
        <v>0</v>
      </c>
      <c r="T61" s="54">
        <f t="shared" si="4"/>
        <v>0</v>
      </c>
      <c r="U61" s="55" t="str">
        <f t="shared" si="5"/>
        <v>NE</v>
      </c>
    </row>
    <row r="62" spans="1:21" ht="17.850000000000001" customHeight="1">
      <c r="A62" s="44">
        <v>50</v>
      </c>
      <c r="B62" s="58" t="s">
        <v>132</v>
      </c>
      <c r="C62" s="66" t="s">
        <v>133</v>
      </c>
      <c r="D62" s="40"/>
      <c r="E62" s="40"/>
      <c r="F62" s="40"/>
      <c r="G62" s="17"/>
      <c r="H62" s="17"/>
      <c r="I62" s="41"/>
      <c r="J62" s="67"/>
      <c r="K62" s="67"/>
      <c r="L62" s="41"/>
      <c r="M62" s="41"/>
      <c r="N62" s="17"/>
      <c r="O62" s="17"/>
      <c r="P62" s="17"/>
      <c r="Q62" s="17"/>
      <c r="R62" s="17"/>
      <c r="S62" s="4">
        <f t="shared" si="3"/>
        <v>0</v>
      </c>
      <c r="T62" s="54">
        <f t="shared" si="4"/>
        <v>0</v>
      </c>
      <c r="U62" s="55" t="str">
        <f t="shared" si="5"/>
        <v>NE</v>
      </c>
    </row>
    <row r="63" spans="1:21" ht="17.850000000000001" customHeight="1">
      <c r="A63" s="44">
        <v>51</v>
      </c>
      <c r="B63" s="58" t="s">
        <v>134</v>
      </c>
      <c r="C63" s="66" t="s">
        <v>135</v>
      </c>
      <c r="D63" s="40"/>
      <c r="E63" s="40"/>
      <c r="F63" s="40"/>
      <c r="G63" s="17"/>
      <c r="H63" s="17"/>
      <c r="I63" s="41"/>
      <c r="J63" s="67"/>
      <c r="K63" s="67"/>
      <c r="L63" s="41"/>
      <c r="M63" s="41"/>
      <c r="N63" s="17"/>
      <c r="O63" s="17"/>
      <c r="P63" s="17"/>
      <c r="Q63" s="17"/>
      <c r="R63" s="17"/>
      <c r="S63" s="4">
        <f t="shared" si="3"/>
        <v>0</v>
      </c>
      <c r="T63" s="54">
        <f t="shared" si="4"/>
        <v>0</v>
      </c>
      <c r="U63" s="55" t="str">
        <f t="shared" si="5"/>
        <v>NE</v>
      </c>
    </row>
    <row r="64" spans="1:21" ht="17.850000000000001" customHeight="1">
      <c r="A64" s="44">
        <v>52</v>
      </c>
      <c r="B64" s="58" t="s">
        <v>136</v>
      </c>
      <c r="C64" s="66" t="s">
        <v>137</v>
      </c>
      <c r="D64" s="40"/>
      <c r="E64" s="40"/>
      <c r="F64" s="40"/>
      <c r="G64" s="17"/>
      <c r="H64" s="17"/>
      <c r="I64" s="41"/>
      <c r="J64" s="67"/>
      <c r="K64" s="67"/>
      <c r="L64" s="41"/>
      <c r="M64" s="41"/>
      <c r="N64" s="17"/>
      <c r="O64" s="17"/>
      <c r="P64" s="17"/>
      <c r="Q64" s="17"/>
      <c r="R64" s="17"/>
      <c r="S64" s="4">
        <f t="shared" si="3"/>
        <v>0</v>
      </c>
      <c r="T64" s="54">
        <f t="shared" si="4"/>
        <v>0</v>
      </c>
      <c r="U64" s="55" t="str">
        <f t="shared" si="5"/>
        <v>NE</v>
      </c>
    </row>
    <row r="65" spans="1:21" ht="17.850000000000001" customHeight="1">
      <c r="A65" s="44">
        <v>53</v>
      </c>
      <c r="B65" s="58" t="s">
        <v>138</v>
      </c>
      <c r="C65" s="66" t="s">
        <v>139</v>
      </c>
      <c r="D65" s="40"/>
      <c r="E65" s="40"/>
      <c r="F65" s="40"/>
      <c r="G65" s="17"/>
      <c r="H65" s="17"/>
      <c r="I65" s="41"/>
      <c r="J65" s="67"/>
      <c r="K65" s="67"/>
      <c r="L65" s="41"/>
      <c r="M65" s="41"/>
      <c r="N65" s="17"/>
      <c r="O65" s="17"/>
      <c r="P65" s="17"/>
      <c r="Q65" s="17"/>
      <c r="R65" s="17"/>
      <c r="S65" s="4">
        <f t="shared" si="3"/>
        <v>0</v>
      </c>
      <c r="T65" s="54">
        <f t="shared" si="4"/>
        <v>0</v>
      </c>
      <c r="U65" s="55" t="str">
        <f t="shared" si="5"/>
        <v>NE</v>
      </c>
    </row>
    <row r="66" spans="1:21" ht="17.850000000000001" customHeight="1">
      <c r="A66" s="44">
        <v>54</v>
      </c>
      <c r="B66" s="58" t="s">
        <v>140</v>
      </c>
      <c r="C66" s="66" t="s">
        <v>141</v>
      </c>
      <c r="D66" s="40"/>
      <c r="E66" s="40"/>
      <c r="F66" s="40"/>
      <c r="G66" s="17"/>
      <c r="H66" s="17"/>
      <c r="I66" s="41"/>
      <c r="J66" s="67"/>
      <c r="K66" s="67"/>
      <c r="L66" s="41"/>
      <c r="M66" s="41"/>
      <c r="N66" s="17"/>
      <c r="O66" s="17"/>
      <c r="P66" s="17"/>
      <c r="Q66" s="17"/>
      <c r="R66" s="17"/>
      <c r="S66" s="4">
        <f t="shared" si="3"/>
        <v>0</v>
      </c>
      <c r="T66" s="54">
        <f t="shared" si="4"/>
        <v>0</v>
      </c>
      <c r="U66" s="55" t="str">
        <f t="shared" si="5"/>
        <v>NE</v>
      </c>
    </row>
    <row r="67" spans="1:21" ht="17.850000000000001" customHeight="1">
      <c r="A67" s="44">
        <v>55</v>
      </c>
      <c r="B67" s="58" t="s">
        <v>142</v>
      </c>
      <c r="C67" s="66" t="s">
        <v>143</v>
      </c>
      <c r="D67" s="40"/>
      <c r="E67" s="40"/>
      <c r="F67" s="40"/>
      <c r="G67" s="17"/>
      <c r="H67" s="17"/>
      <c r="I67" s="41"/>
      <c r="J67" s="67"/>
      <c r="K67" s="67"/>
      <c r="L67" s="41"/>
      <c r="M67" s="41"/>
      <c r="N67" s="17"/>
      <c r="O67" s="17"/>
      <c r="P67" s="17"/>
      <c r="Q67" s="17"/>
      <c r="R67" s="17"/>
      <c r="S67" s="4">
        <f t="shared" si="3"/>
        <v>0</v>
      </c>
      <c r="T67" s="54">
        <f t="shared" si="4"/>
        <v>0</v>
      </c>
      <c r="U67" s="55" t="str">
        <f t="shared" si="5"/>
        <v>NE</v>
      </c>
    </row>
    <row r="68" spans="1:21" ht="17.850000000000001" customHeight="1">
      <c r="A68" s="44">
        <v>56</v>
      </c>
      <c r="B68" s="58" t="s">
        <v>144</v>
      </c>
      <c r="C68" s="59" t="s">
        <v>145</v>
      </c>
      <c r="D68" s="40"/>
      <c r="E68" s="40"/>
      <c r="F68" s="40"/>
      <c r="G68" s="17"/>
      <c r="H68" s="17"/>
      <c r="I68" s="41"/>
      <c r="J68" s="67"/>
      <c r="K68" s="67"/>
      <c r="L68" s="41"/>
      <c r="M68" s="41"/>
      <c r="N68" s="40"/>
      <c r="O68" s="40"/>
      <c r="P68" s="40"/>
      <c r="Q68" s="40"/>
      <c r="R68" s="40"/>
      <c r="S68" s="4">
        <f t="shared" si="3"/>
        <v>0</v>
      </c>
      <c r="T68" s="54">
        <f t="shared" si="4"/>
        <v>0</v>
      </c>
      <c r="U68" s="55" t="str">
        <f t="shared" si="5"/>
        <v>NE</v>
      </c>
    </row>
    <row r="69" spans="1:21" ht="17.850000000000001" customHeight="1">
      <c r="A69" s="44">
        <v>57</v>
      </c>
      <c r="B69" s="93" t="s">
        <v>146</v>
      </c>
      <c r="C69" s="94" t="s">
        <v>147</v>
      </c>
      <c r="D69" s="40"/>
      <c r="E69" s="40"/>
      <c r="F69" s="40"/>
      <c r="G69" s="17"/>
      <c r="H69" s="17"/>
      <c r="I69" s="41"/>
      <c r="J69" s="67"/>
      <c r="K69" s="67"/>
      <c r="L69" s="41"/>
      <c r="M69" s="41"/>
      <c r="N69" s="17"/>
      <c r="O69" s="17"/>
      <c r="P69" s="17"/>
      <c r="Q69" s="17"/>
      <c r="R69" s="17"/>
      <c r="S69" s="4">
        <f t="shared" si="3"/>
        <v>0</v>
      </c>
      <c r="T69" s="54">
        <f t="shared" si="4"/>
        <v>0</v>
      </c>
      <c r="U69" s="55" t="str">
        <f t="shared" si="5"/>
        <v>NE</v>
      </c>
    </row>
    <row r="70" spans="1:21" ht="17.850000000000001" customHeight="1">
      <c r="A70" s="44">
        <v>58</v>
      </c>
      <c r="B70" s="62" t="s">
        <v>148</v>
      </c>
      <c r="C70" s="61" t="s">
        <v>149</v>
      </c>
      <c r="D70" s="40"/>
      <c r="E70" s="40"/>
      <c r="F70" s="40"/>
      <c r="G70" s="17"/>
      <c r="H70" s="17"/>
      <c r="I70" s="41"/>
      <c r="J70" s="67"/>
      <c r="K70" s="67"/>
      <c r="L70" s="41"/>
      <c r="M70" s="41"/>
      <c r="N70" s="40"/>
      <c r="O70" s="40"/>
      <c r="P70" s="40"/>
      <c r="Q70" s="40"/>
      <c r="R70" s="40"/>
      <c r="S70" s="4">
        <f t="shared" si="3"/>
        <v>0</v>
      </c>
      <c r="T70" s="54">
        <f t="shared" si="4"/>
        <v>0</v>
      </c>
      <c r="U70" s="55" t="str">
        <f t="shared" si="5"/>
        <v>NE</v>
      </c>
    </row>
    <row r="71" spans="1:21" ht="17.850000000000001" customHeight="1">
      <c r="A71" s="44">
        <v>59</v>
      </c>
      <c r="B71" s="60" t="s">
        <v>150</v>
      </c>
      <c r="C71" s="61" t="s">
        <v>151</v>
      </c>
      <c r="D71" s="40"/>
      <c r="E71" s="40"/>
      <c r="F71" s="40"/>
      <c r="G71" s="17"/>
      <c r="H71" s="17"/>
      <c r="I71" s="41"/>
      <c r="J71" s="67"/>
      <c r="K71" s="67"/>
      <c r="L71" s="41"/>
      <c r="M71" s="41"/>
      <c r="N71" s="40"/>
      <c r="O71" s="40"/>
      <c r="P71" s="40"/>
      <c r="Q71" s="40"/>
      <c r="R71" s="40"/>
      <c r="S71" s="4">
        <f t="shared" si="3"/>
        <v>0</v>
      </c>
      <c r="T71" s="54">
        <f t="shared" si="4"/>
        <v>0</v>
      </c>
      <c r="U71" s="55" t="str">
        <f t="shared" si="5"/>
        <v>NE</v>
      </c>
    </row>
    <row r="72" spans="1:21" ht="17.850000000000001" customHeight="1">
      <c r="A72" s="44">
        <v>60</v>
      </c>
      <c r="B72" s="62" t="s">
        <v>152</v>
      </c>
      <c r="C72" s="63" t="s">
        <v>153</v>
      </c>
      <c r="D72" s="40"/>
      <c r="E72" s="40"/>
      <c r="F72" s="40"/>
      <c r="G72" s="17"/>
      <c r="H72" s="17"/>
      <c r="I72" s="41"/>
      <c r="J72" s="67"/>
      <c r="K72" s="67"/>
      <c r="L72" s="41"/>
      <c r="M72" s="41"/>
      <c r="N72" s="40"/>
      <c r="O72" s="40"/>
      <c r="P72" s="40"/>
      <c r="Q72" s="40"/>
      <c r="R72" s="40"/>
      <c r="S72" s="4">
        <f t="shared" si="3"/>
        <v>0</v>
      </c>
      <c r="T72" s="54">
        <f t="shared" si="4"/>
        <v>0</v>
      </c>
      <c r="U72" s="55" t="str">
        <f t="shared" si="5"/>
        <v>NE</v>
      </c>
    </row>
    <row r="73" spans="1:21" ht="17.850000000000001" customHeight="1">
      <c r="A73" s="44">
        <v>61</v>
      </c>
      <c r="B73" s="60" t="s">
        <v>154</v>
      </c>
      <c r="C73" s="61" t="s">
        <v>155</v>
      </c>
      <c r="D73" s="40"/>
      <c r="E73" s="40"/>
      <c r="F73" s="40"/>
      <c r="G73" s="17"/>
      <c r="H73" s="17"/>
      <c r="I73" s="41"/>
      <c r="J73" s="67"/>
      <c r="K73" s="67"/>
      <c r="L73" s="41"/>
      <c r="M73" s="41"/>
      <c r="N73" s="40"/>
      <c r="O73" s="40"/>
      <c r="P73" s="40"/>
      <c r="Q73" s="40"/>
      <c r="R73" s="40"/>
      <c r="S73" s="4">
        <f t="shared" si="3"/>
        <v>0</v>
      </c>
      <c r="T73" s="54">
        <f t="shared" si="4"/>
        <v>0</v>
      </c>
      <c r="U73" s="55" t="str">
        <f t="shared" si="5"/>
        <v>NE</v>
      </c>
    </row>
    <row r="74" spans="1:21" ht="17.850000000000001" customHeight="1">
      <c r="A74" s="44">
        <v>62</v>
      </c>
      <c r="B74" s="62" t="s">
        <v>156</v>
      </c>
      <c r="C74" s="63" t="s">
        <v>157</v>
      </c>
      <c r="D74" s="40"/>
      <c r="E74" s="40"/>
      <c r="F74" s="40"/>
      <c r="G74" s="17"/>
      <c r="H74" s="17"/>
      <c r="I74" s="41"/>
      <c r="J74" s="67"/>
      <c r="K74" s="67"/>
      <c r="L74" s="41"/>
      <c r="M74" s="41"/>
      <c r="N74" s="40"/>
      <c r="O74" s="40"/>
      <c r="P74" s="40"/>
      <c r="Q74" s="40"/>
      <c r="R74" s="40"/>
      <c r="S74" s="4">
        <f t="shared" si="3"/>
        <v>0</v>
      </c>
      <c r="T74" s="54">
        <f t="shared" si="4"/>
        <v>0</v>
      </c>
      <c r="U74" s="55" t="str">
        <f t="shared" si="5"/>
        <v>NE</v>
      </c>
    </row>
    <row r="75" spans="1:21" ht="17.850000000000001" customHeight="1">
      <c r="A75" s="44">
        <v>63</v>
      </c>
      <c r="B75" s="62" t="s">
        <v>158</v>
      </c>
      <c r="C75" s="61" t="s">
        <v>159</v>
      </c>
      <c r="D75" s="40"/>
      <c r="E75" s="40"/>
      <c r="F75" s="40"/>
      <c r="G75" s="17"/>
      <c r="H75" s="17"/>
      <c r="I75" s="41"/>
      <c r="J75" s="67"/>
      <c r="K75" s="67"/>
      <c r="L75" s="41"/>
      <c r="M75" s="41"/>
      <c r="N75" s="40"/>
      <c r="O75" s="40"/>
      <c r="P75" s="40"/>
      <c r="Q75" s="40"/>
      <c r="R75" s="40"/>
      <c r="S75" s="4">
        <f t="shared" si="3"/>
        <v>0</v>
      </c>
      <c r="T75" s="54">
        <f t="shared" si="4"/>
        <v>0</v>
      </c>
      <c r="U75" s="55" t="str">
        <f t="shared" si="5"/>
        <v>NE</v>
      </c>
    </row>
    <row r="76" spans="1:21" ht="17.850000000000001" customHeight="1">
      <c r="A76" s="44">
        <v>64</v>
      </c>
      <c r="B76" s="60" t="s">
        <v>160</v>
      </c>
      <c r="C76" s="61" t="s">
        <v>161</v>
      </c>
      <c r="D76" s="40"/>
      <c r="E76" s="40"/>
      <c r="F76" s="40"/>
      <c r="G76" s="17"/>
      <c r="H76" s="17"/>
      <c r="I76" s="41"/>
      <c r="J76" s="67"/>
      <c r="K76" s="67"/>
      <c r="L76" s="41"/>
      <c r="M76" s="41"/>
      <c r="N76" s="40"/>
      <c r="O76" s="40"/>
      <c r="P76" s="40"/>
      <c r="Q76" s="40"/>
      <c r="R76" s="40"/>
      <c r="S76" s="4">
        <f t="shared" si="3"/>
        <v>0</v>
      </c>
      <c r="T76" s="54">
        <f t="shared" si="4"/>
        <v>0</v>
      </c>
      <c r="U76" s="55" t="str">
        <f t="shared" si="5"/>
        <v>NE</v>
      </c>
    </row>
    <row r="77" spans="1:21" ht="17.850000000000001" customHeight="1">
      <c r="A77" s="44">
        <v>65</v>
      </c>
      <c r="B77" s="62" t="s">
        <v>162</v>
      </c>
      <c r="C77" s="63" t="s">
        <v>163</v>
      </c>
      <c r="D77" s="40"/>
      <c r="E77" s="40"/>
      <c r="F77" s="40"/>
      <c r="G77" s="17"/>
      <c r="H77" s="17"/>
      <c r="I77" s="41"/>
      <c r="J77" s="67"/>
      <c r="K77" s="67"/>
      <c r="L77" s="41"/>
      <c r="M77" s="41"/>
      <c r="N77" s="40"/>
      <c r="O77" s="40"/>
      <c r="P77" s="40"/>
      <c r="Q77" s="40"/>
      <c r="R77" s="40"/>
      <c r="S77" s="4">
        <f t="shared" ref="S77:S92" si="6">COUNTIF(D77:R77,"P")</f>
        <v>0</v>
      </c>
      <c r="T77" s="54">
        <f t="shared" ref="T77:T92" si="7">ROUND(SUM(S77/15*100),0)</f>
        <v>0</v>
      </c>
      <c r="U77" s="55" t="str">
        <f t="shared" ref="U77:U92" si="8">IF(T77&gt;=75,"EG",IF(T77&gt;=65,"CN","NE"))</f>
        <v>NE</v>
      </c>
    </row>
    <row r="78" spans="1:21" ht="17.850000000000001" customHeight="1">
      <c r="A78" s="44">
        <v>66</v>
      </c>
      <c r="B78" s="60" t="s">
        <v>164</v>
      </c>
      <c r="C78" s="63" t="s">
        <v>165</v>
      </c>
      <c r="D78" s="40"/>
      <c r="E78" s="40"/>
      <c r="F78" s="40"/>
      <c r="G78" s="17"/>
      <c r="H78" s="17"/>
      <c r="I78" s="41"/>
      <c r="J78" s="67"/>
      <c r="K78" s="67"/>
      <c r="L78" s="41"/>
      <c r="M78" s="41"/>
      <c r="N78" s="40"/>
      <c r="O78" s="40"/>
      <c r="P78" s="40"/>
      <c r="Q78" s="40"/>
      <c r="R78" s="40"/>
      <c r="S78" s="4">
        <f t="shared" si="6"/>
        <v>0</v>
      </c>
      <c r="T78" s="54">
        <f t="shared" si="7"/>
        <v>0</v>
      </c>
      <c r="U78" s="55" t="str">
        <f t="shared" si="8"/>
        <v>NE</v>
      </c>
    </row>
    <row r="79" spans="1:21" ht="17.850000000000001" customHeight="1">
      <c r="A79" s="44">
        <v>67</v>
      </c>
      <c r="B79" s="62" t="s">
        <v>166</v>
      </c>
      <c r="C79" s="61" t="s">
        <v>167</v>
      </c>
      <c r="D79" s="40"/>
      <c r="E79" s="40"/>
      <c r="F79" s="40"/>
      <c r="G79" s="17"/>
      <c r="H79" s="17"/>
      <c r="I79" s="41"/>
      <c r="J79" s="67"/>
      <c r="K79" s="67"/>
      <c r="L79" s="41"/>
      <c r="M79" s="41"/>
      <c r="N79" s="40"/>
      <c r="O79" s="40"/>
      <c r="P79" s="40"/>
      <c r="Q79" s="40"/>
      <c r="R79" s="40"/>
      <c r="S79" s="4">
        <f t="shared" si="6"/>
        <v>0</v>
      </c>
      <c r="T79" s="54">
        <f t="shared" si="7"/>
        <v>0</v>
      </c>
      <c r="U79" s="55" t="str">
        <f t="shared" si="8"/>
        <v>NE</v>
      </c>
    </row>
    <row r="80" spans="1:21" ht="17.850000000000001" customHeight="1">
      <c r="A80" s="44">
        <v>68</v>
      </c>
      <c r="B80" s="60" t="s">
        <v>168</v>
      </c>
      <c r="C80" s="63" t="s">
        <v>169</v>
      </c>
      <c r="D80" s="40"/>
      <c r="E80" s="40"/>
      <c r="F80" s="40"/>
      <c r="G80" s="17"/>
      <c r="H80" s="17"/>
      <c r="I80" s="41"/>
      <c r="J80" s="67"/>
      <c r="K80" s="67"/>
      <c r="L80" s="41"/>
      <c r="M80" s="41"/>
      <c r="N80" s="40"/>
      <c r="O80" s="40"/>
      <c r="P80" s="40"/>
      <c r="Q80" s="40"/>
      <c r="R80" s="40"/>
      <c r="S80" s="4">
        <f t="shared" si="6"/>
        <v>0</v>
      </c>
      <c r="T80" s="54">
        <f t="shared" si="7"/>
        <v>0</v>
      </c>
      <c r="U80" s="55" t="str">
        <f t="shared" si="8"/>
        <v>NE</v>
      </c>
    </row>
    <row r="81" spans="1:22" ht="17.850000000000001" customHeight="1">
      <c r="A81" s="44">
        <v>69</v>
      </c>
      <c r="B81" s="62" t="s">
        <v>170</v>
      </c>
      <c r="C81" s="61" t="s">
        <v>171</v>
      </c>
      <c r="D81" s="40"/>
      <c r="E81" s="40"/>
      <c r="F81" s="40"/>
      <c r="G81" s="17"/>
      <c r="H81" s="17"/>
      <c r="I81" s="41"/>
      <c r="J81" s="67"/>
      <c r="K81" s="67"/>
      <c r="L81" s="41"/>
      <c r="M81" s="41"/>
      <c r="N81" s="40"/>
      <c r="O81" s="40"/>
      <c r="P81" s="40"/>
      <c r="Q81" s="40"/>
      <c r="R81" s="40"/>
      <c r="S81" s="4">
        <f t="shared" si="6"/>
        <v>0</v>
      </c>
      <c r="T81" s="54">
        <f t="shared" si="7"/>
        <v>0</v>
      </c>
      <c r="U81" s="55" t="str">
        <f t="shared" si="8"/>
        <v>NE</v>
      </c>
    </row>
    <row r="82" spans="1:22" ht="17.850000000000001" customHeight="1">
      <c r="A82" s="44">
        <v>70</v>
      </c>
      <c r="B82" s="62" t="s">
        <v>172</v>
      </c>
      <c r="C82" s="61" t="s">
        <v>173</v>
      </c>
      <c r="D82" s="17"/>
      <c r="E82" s="17"/>
      <c r="F82" s="17"/>
      <c r="G82" s="17"/>
      <c r="H82" s="17"/>
      <c r="I82" s="41"/>
      <c r="J82" s="67"/>
      <c r="K82" s="67"/>
      <c r="L82" s="41"/>
      <c r="M82" s="41"/>
      <c r="N82" s="40"/>
      <c r="O82" s="40"/>
      <c r="P82" s="40"/>
      <c r="Q82" s="40"/>
      <c r="R82" s="40"/>
      <c r="S82" s="4">
        <f t="shared" si="6"/>
        <v>0</v>
      </c>
      <c r="T82" s="54">
        <f t="shared" si="7"/>
        <v>0</v>
      </c>
      <c r="U82" s="55" t="str">
        <f t="shared" si="8"/>
        <v>NE</v>
      </c>
      <c r="V82" s="56" t="s">
        <v>27</v>
      </c>
    </row>
    <row r="83" spans="1:22" ht="17.850000000000001" customHeight="1">
      <c r="A83" s="44">
        <v>71</v>
      </c>
      <c r="B83" s="60" t="s">
        <v>174</v>
      </c>
      <c r="C83" s="63" t="s">
        <v>175</v>
      </c>
      <c r="D83" s="40"/>
      <c r="E83" s="40"/>
      <c r="F83" s="40"/>
      <c r="G83" s="17"/>
      <c r="H83" s="17"/>
      <c r="I83" s="41"/>
      <c r="J83" s="67"/>
      <c r="K83" s="67"/>
      <c r="L83" s="41"/>
      <c r="M83" s="41"/>
      <c r="N83" s="40"/>
      <c r="O83" s="40"/>
      <c r="P83" s="40"/>
      <c r="Q83" s="40"/>
      <c r="R83" s="40"/>
      <c r="S83" s="4">
        <f t="shared" si="6"/>
        <v>0</v>
      </c>
      <c r="T83" s="54">
        <f t="shared" si="7"/>
        <v>0</v>
      </c>
      <c r="U83" s="55" t="str">
        <f t="shared" si="8"/>
        <v>NE</v>
      </c>
    </row>
    <row r="84" spans="1:22" ht="17.850000000000001" customHeight="1">
      <c r="A84" s="44">
        <v>72</v>
      </c>
      <c r="B84" s="62" t="s">
        <v>176</v>
      </c>
      <c r="C84" s="61" t="s">
        <v>177</v>
      </c>
      <c r="D84" s="40"/>
      <c r="E84" s="40"/>
      <c r="F84" s="40"/>
      <c r="G84" s="17"/>
      <c r="H84" s="17"/>
      <c r="I84" s="41"/>
      <c r="J84" s="67"/>
      <c r="K84" s="67"/>
      <c r="L84" s="41"/>
      <c r="M84" s="41"/>
      <c r="N84" s="40"/>
      <c r="O84" s="40"/>
      <c r="P84" s="40"/>
      <c r="Q84" s="40"/>
      <c r="R84" s="40"/>
      <c r="S84" s="4">
        <f t="shared" si="6"/>
        <v>0</v>
      </c>
      <c r="T84" s="54">
        <f t="shared" si="7"/>
        <v>0</v>
      </c>
      <c r="U84" s="55" t="str">
        <f t="shared" si="8"/>
        <v>NE</v>
      </c>
    </row>
    <row r="85" spans="1:22" ht="17.850000000000001" customHeight="1">
      <c r="A85" s="44">
        <v>73</v>
      </c>
      <c r="B85" s="62" t="s">
        <v>178</v>
      </c>
      <c r="C85" s="61" t="s">
        <v>179</v>
      </c>
      <c r="D85" s="40"/>
      <c r="E85" s="40"/>
      <c r="F85" s="40"/>
      <c r="G85" s="17"/>
      <c r="H85" s="17"/>
      <c r="I85" s="41"/>
      <c r="J85" s="67"/>
      <c r="K85" s="67"/>
      <c r="L85" s="41"/>
      <c r="M85" s="41"/>
      <c r="N85" s="40"/>
      <c r="O85" s="40"/>
      <c r="P85" s="40"/>
      <c r="Q85" s="40"/>
      <c r="R85" s="40"/>
      <c r="S85" s="4">
        <f t="shared" si="6"/>
        <v>0</v>
      </c>
      <c r="T85" s="54">
        <f t="shared" si="7"/>
        <v>0</v>
      </c>
      <c r="U85" s="55" t="str">
        <f t="shared" si="8"/>
        <v>NE</v>
      </c>
    </row>
    <row r="86" spans="1:22" ht="17.850000000000001" customHeight="1">
      <c r="A86" s="44">
        <v>74</v>
      </c>
      <c r="B86" s="62" t="s">
        <v>180</v>
      </c>
      <c r="C86" s="63" t="s">
        <v>181</v>
      </c>
      <c r="D86" s="40"/>
      <c r="E86" s="40"/>
      <c r="F86" s="40"/>
      <c r="G86" s="17"/>
      <c r="H86" s="17"/>
      <c r="I86" s="41"/>
      <c r="J86" s="67"/>
      <c r="K86" s="67"/>
      <c r="L86" s="41"/>
      <c r="M86" s="41"/>
      <c r="N86" s="40"/>
      <c r="O86" s="40"/>
      <c r="P86" s="40"/>
      <c r="Q86" s="40"/>
      <c r="R86" s="40"/>
      <c r="S86" s="4">
        <f t="shared" si="6"/>
        <v>0</v>
      </c>
      <c r="T86" s="54">
        <f t="shared" si="7"/>
        <v>0</v>
      </c>
      <c r="U86" s="55" t="str">
        <f t="shared" si="8"/>
        <v>NE</v>
      </c>
    </row>
    <row r="87" spans="1:22" ht="17.850000000000001" customHeight="1">
      <c r="A87" s="44">
        <v>75</v>
      </c>
      <c r="B87" s="60" t="s">
        <v>182</v>
      </c>
      <c r="C87" s="61" t="s">
        <v>183</v>
      </c>
      <c r="D87" s="40"/>
      <c r="E87" s="40"/>
      <c r="F87" s="40"/>
      <c r="G87" s="17"/>
      <c r="H87" s="17"/>
      <c r="I87" s="41"/>
      <c r="J87" s="67"/>
      <c r="K87" s="67"/>
      <c r="L87" s="41"/>
      <c r="M87" s="41"/>
      <c r="N87" s="40"/>
      <c r="O87" s="40"/>
      <c r="P87" s="40"/>
      <c r="Q87" s="40"/>
      <c r="R87" s="40"/>
      <c r="S87" s="4">
        <f t="shared" si="6"/>
        <v>0</v>
      </c>
      <c r="T87" s="54">
        <f t="shared" si="7"/>
        <v>0</v>
      </c>
      <c r="U87" s="55" t="str">
        <f t="shared" si="8"/>
        <v>NE</v>
      </c>
    </row>
    <row r="88" spans="1:22" ht="17.850000000000001" customHeight="1">
      <c r="A88" s="44">
        <v>76</v>
      </c>
      <c r="B88" s="60" t="s">
        <v>184</v>
      </c>
      <c r="C88" s="63" t="s">
        <v>185</v>
      </c>
      <c r="D88" s="40"/>
      <c r="E88" s="40"/>
      <c r="F88" s="40"/>
      <c r="G88" s="17"/>
      <c r="H88" s="17"/>
      <c r="I88" s="41"/>
      <c r="J88" s="67"/>
      <c r="K88" s="67"/>
      <c r="L88" s="41"/>
      <c r="M88" s="41"/>
      <c r="N88" s="40"/>
      <c r="O88" s="40"/>
      <c r="P88" s="40"/>
      <c r="Q88" s="40"/>
      <c r="R88" s="40"/>
      <c r="S88" s="4">
        <f t="shared" si="6"/>
        <v>0</v>
      </c>
      <c r="T88" s="54">
        <f t="shared" si="7"/>
        <v>0</v>
      </c>
      <c r="U88" s="55" t="str">
        <f t="shared" si="8"/>
        <v>NE</v>
      </c>
    </row>
    <row r="89" spans="1:22" ht="17.850000000000001" customHeight="1">
      <c r="A89" s="44">
        <v>77</v>
      </c>
      <c r="B89" s="60" t="s">
        <v>186</v>
      </c>
      <c r="C89" s="61" t="s">
        <v>187</v>
      </c>
      <c r="D89" s="40"/>
      <c r="E89" s="40"/>
      <c r="F89" s="40"/>
      <c r="G89" s="17"/>
      <c r="H89" s="17"/>
      <c r="I89" s="41"/>
      <c r="J89" s="67"/>
      <c r="K89" s="67"/>
      <c r="L89" s="41"/>
      <c r="M89" s="41"/>
      <c r="N89" s="40"/>
      <c r="O89" s="40"/>
      <c r="P89" s="40"/>
      <c r="Q89" s="40"/>
      <c r="R89" s="40"/>
      <c r="S89" s="4">
        <f t="shared" si="6"/>
        <v>0</v>
      </c>
      <c r="T89" s="54">
        <f t="shared" si="7"/>
        <v>0</v>
      </c>
      <c r="U89" s="55" t="str">
        <f t="shared" si="8"/>
        <v>NE</v>
      </c>
    </row>
    <row r="90" spans="1:22" ht="17.850000000000001" customHeight="1">
      <c r="A90" s="44">
        <v>78</v>
      </c>
      <c r="B90" s="62" t="s">
        <v>188</v>
      </c>
      <c r="C90" s="61" t="s">
        <v>189</v>
      </c>
      <c r="D90" s="40"/>
      <c r="E90" s="40"/>
      <c r="F90" s="40"/>
      <c r="G90" s="17"/>
      <c r="H90" s="17"/>
      <c r="I90" s="41"/>
      <c r="J90" s="67"/>
      <c r="K90" s="67"/>
      <c r="L90" s="41"/>
      <c r="M90" s="41"/>
      <c r="N90" s="40"/>
      <c r="O90" s="40"/>
      <c r="P90" s="40"/>
      <c r="Q90" s="40"/>
      <c r="R90" s="40"/>
      <c r="S90" s="4">
        <f t="shared" si="6"/>
        <v>0</v>
      </c>
      <c r="T90" s="54">
        <f t="shared" si="7"/>
        <v>0</v>
      </c>
      <c r="U90" s="55" t="str">
        <f t="shared" si="8"/>
        <v>NE</v>
      </c>
    </row>
    <row r="91" spans="1:22" ht="17.850000000000001" customHeight="1">
      <c r="A91" s="44">
        <v>79</v>
      </c>
      <c r="B91" s="60" t="s">
        <v>190</v>
      </c>
      <c r="C91" s="63" t="s">
        <v>191</v>
      </c>
      <c r="D91" s="40"/>
      <c r="E91" s="40"/>
      <c r="F91" s="40"/>
      <c r="G91" s="17"/>
      <c r="H91" s="17"/>
      <c r="I91" s="41"/>
      <c r="J91" s="67"/>
      <c r="K91" s="67"/>
      <c r="L91" s="41"/>
      <c r="M91" s="41"/>
      <c r="N91" s="40"/>
      <c r="O91" s="40"/>
      <c r="P91" s="40"/>
      <c r="Q91" s="40"/>
      <c r="R91" s="40"/>
      <c r="S91" s="4">
        <f t="shared" si="6"/>
        <v>0</v>
      </c>
      <c r="T91" s="54">
        <f t="shared" si="7"/>
        <v>0</v>
      </c>
      <c r="U91" s="55" t="str">
        <f t="shared" si="8"/>
        <v>NE</v>
      </c>
    </row>
    <row r="92" spans="1:22" ht="17.850000000000001" customHeight="1">
      <c r="A92" s="44">
        <v>80</v>
      </c>
      <c r="B92" s="62" t="s">
        <v>192</v>
      </c>
      <c r="C92" s="61" t="s">
        <v>193</v>
      </c>
      <c r="D92" s="40"/>
      <c r="E92" s="40"/>
      <c r="F92" s="40"/>
      <c r="G92" s="17"/>
      <c r="H92" s="17"/>
      <c r="I92" s="41"/>
      <c r="J92" s="67"/>
      <c r="K92" s="67"/>
      <c r="L92" s="41"/>
      <c r="M92" s="41"/>
      <c r="N92" s="40"/>
      <c r="O92" s="40"/>
      <c r="P92" s="40"/>
      <c r="Q92" s="40"/>
      <c r="R92" s="40"/>
      <c r="S92" s="4">
        <f t="shared" si="6"/>
        <v>0</v>
      </c>
      <c r="T92" s="54">
        <f t="shared" si="7"/>
        <v>0</v>
      </c>
      <c r="U92" s="55" t="str">
        <f t="shared" si="8"/>
        <v>NE</v>
      </c>
    </row>
    <row r="93" spans="1:22" ht="17.850000000000001" customHeight="1">
      <c r="A93" s="44"/>
      <c r="B93" s="60"/>
      <c r="C93" s="63"/>
      <c r="D93" s="17"/>
      <c r="E93" s="17"/>
      <c r="F93" s="17"/>
      <c r="G93" s="17"/>
      <c r="H93" s="17"/>
      <c r="I93" s="21"/>
      <c r="J93" s="21"/>
      <c r="K93" s="21"/>
      <c r="L93" s="21"/>
      <c r="M93" s="21"/>
      <c r="N93" s="40"/>
      <c r="O93" s="40"/>
      <c r="P93" s="40"/>
      <c r="Q93" s="40"/>
      <c r="R93" s="40"/>
      <c r="S93" s="4">
        <f t="shared" ref="S93:S97" si="9">COUNTIF(D93:R93,"P")</f>
        <v>0</v>
      </c>
      <c r="T93" s="54">
        <f t="shared" ref="T93:T97" si="10">ROUND(SUM(S93/15*100),0)</f>
        <v>0</v>
      </c>
      <c r="U93" s="55" t="str">
        <f t="shared" ref="U93:U97" si="11">IF(T93&gt;=75,"EG",IF(T93&gt;=65,"CN","NE"))</f>
        <v>NE</v>
      </c>
    </row>
    <row r="94" spans="1:22" ht="17.850000000000001" customHeight="1">
      <c r="A94" s="3"/>
      <c r="B94" s="48"/>
      <c r="C94" s="37"/>
      <c r="D94" s="38"/>
      <c r="E94" s="38"/>
      <c r="F94" s="38"/>
      <c r="G94" s="38"/>
      <c r="H94" s="38"/>
      <c r="I94" s="39"/>
      <c r="J94" s="39"/>
      <c r="K94" s="39"/>
      <c r="L94" s="39"/>
      <c r="M94" s="39"/>
      <c r="N94" s="40"/>
      <c r="O94" s="40"/>
      <c r="P94" s="40"/>
      <c r="Q94" s="40"/>
      <c r="R94" s="40"/>
      <c r="S94" s="4">
        <f t="shared" si="9"/>
        <v>0</v>
      </c>
      <c r="T94" s="54">
        <f t="shared" si="10"/>
        <v>0</v>
      </c>
      <c r="U94" s="55" t="str">
        <f t="shared" si="11"/>
        <v>NE</v>
      </c>
    </row>
    <row r="95" spans="1:22" ht="17.850000000000001" customHeight="1">
      <c r="A95" s="3"/>
      <c r="B95" s="62"/>
      <c r="C95" s="63"/>
      <c r="D95" s="17"/>
      <c r="E95" s="17"/>
      <c r="F95" s="17"/>
      <c r="G95" s="17"/>
      <c r="H95" s="17"/>
      <c r="I95" s="21"/>
      <c r="J95" s="21"/>
      <c r="K95" s="21"/>
      <c r="L95" s="21"/>
      <c r="M95" s="21"/>
      <c r="N95" s="40"/>
      <c r="O95" s="40"/>
      <c r="P95" s="40"/>
      <c r="Q95" s="40"/>
      <c r="R95" s="40"/>
      <c r="S95" s="4">
        <f t="shared" si="9"/>
        <v>0</v>
      </c>
      <c r="T95" s="54">
        <f t="shared" si="10"/>
        <v>0</v>
      </c>
      <c r="U95" s="55" t="str">
        <f t="shared" si="11"/>
        <v>NE</v>
      </c>
    </row>
    <row r="96" spans="1:22" ht="17.850000000000001" customHeight="1">
      <c r="A96" s="3"/>
      <c r="B96" s="62"/>
      <c r="C96" s="61"/>
      <c r="D96" s="17"/>
      <c r="E96" s="17"/>
      <c r="F96" s="17"/>
      <c r="G96" s="17"/>
      <c r="H96" s="17"/>
      <c r="I96" s="21"/>
      <c r="J96" s="21"/>
      <c r="K96" s="21"/>
      <c r="L96" s="21"/>
      <c r="M96" s="21"/>
      <c r="N96" s="40"/>
      <c r="O96" s="40"/>
      <c r="P96" s="40"/>
      <c r="Q96" s="40"/>
      <c r="R96" s="40"/>
      <c r="S96" s="4">
        <f t="shared" si="9"/>
        <v>0</v>
      </c>
      <c r="T96" s="54">
        <f t="shared" si="10"/>
        <v>0</v>
      </c>
      <c r="U96" s="55" t="str">
        <f t="shared" si="11"/>
        <v>NE</v>
      </c>
    </row>
    <row r="97" spans="1:21" ht="17.850000000000001" customHeight="1">
      <c r="A97" s="27"/>
      <c r="B97" s="64"/>
      <c r="C97" s="65"/>
      <c r="D97" s="28"/>
      <c r="E97" s="28"/>
      <c r="F97" s="28"/>
      <c r="G97" s="28"/>
      <c r="H97" s="28"/>
      <c r="I97" s="22"/>
      <c r="J97" s="22"/>
      <c r="K97" s="22"/>
      <c r="L97" s="22"/>
      <c r="M97" s="22"/>
      <c r="N97" s="40"/>
      <c r="O97" s="40"/>
      <c r="P97" s="40"/>
      <c r="Q97" s="40"/>
      <c r="R97" s="40"/>
      <c r="S97" s="4">
        <f t="shared" si="9"/>
        <v>0</v>
      </c>
      <c r="T97" s="54">
        <f t="shared" si="10"/>
        <v>0</v>
      </c>
      <c r="U97" s="55" t="str">
        <f t="shared" si="11"/>
        <v>NE</v>
      </c>
    </row>
    <row r="98" spans="1:21" ht="15" customHeight="1">
      <c r="A98" s="25"/>
      <c r="B98" s="49"/>
      <c r="C98" s="31" t="s">
        <v>12</v>
      </c>
      <c r="D98" s="43">
        <f>COUNTIF(D13:D97,"P")</f>
        <v>0</v>
      </c>
      <c r="E98" s="43">
        <f t="shared" ref="E98:R98" si="12">COUNTIF(E13:E97,"P")</f>
        <v>0</v>
      </c>
      <c r="F98" s="43">
        <f t="shared" si="12"/>
        <v>0</v>
      </c>
      <c r="G98" s="43">
        <f t="shared" si="12"/>
        <v>0</v>
      </c>
      <c r="H98" s="43">
        <f t="shared" si="12"/>
        <v>0</v>
      </c>
      <c r="I98" s="23">
        <f t="shared" si="12"/>
        <v>0</v>
      </c>
      <c r="J98" s="23">
        <f t="shared" si="12"/>
        <v>0</v>
      </c>
      <c r="K98" s="23">
        <f t="shared" si="12"/>
        <v>0</v>
      </c>
      <c r="L98" s="23">
        <f t="shared" si="12"/>
        <v>0</v>
      </c>
      <c r="M98" s="23">
        <f t="shared" si="12"/>
        <v>0</v>
      </c>
      <c r="N98" s="43">
        <f t="shared" si="12"/>
        <v>0</v>
      </c>
      <c r="O98" s="43">
        <f t="shared" si="12"/>
        <v>0</v>
      </c>
      <c r="P98" s="43">
        <f t="shared" si="12"/>
        <v>0</v>
      </c>
      <c r="Q98" s="43">
        <f t="shared" si="12"/>
        <v>0</v>
      </c>
      <c r="R98" s="43">
        <f t="shared" si="12"/>
        <v>0</v>
      </c>
      <c r="S98" s="5"/>
      <c r="T98" s="5"/>
    </row>
    <row r="99" spans="1:21" ht="16.5" customHeight="1">
      <c r="A99" s="25"/>
      <c r="B99" s="50"/>
      <c r="C99" s="32" t="s">
        <v>13</v>
      </c>
      <c r="D99" s="43">
        <f>COUNTIF(D13:D97,"A")</f>
        <v>0</v>
      </c>
      <c r="E99" s="43">
        <f t="shared" ref="E99:R99" si="13">COUNTIF(E13:E97,"A")</f>
        <v>0</v>
      </c>
      <c r="F99" s="43">
        <f t="shared" si="13"/>
        <v>0</v>
      </c>
      <c r="G99" s="43">
        <f t="shared" si="13"/>
        <v>0</v>
      </c>
      <c r="H99" s="43">
        <f t="shared" si="13"/>
        <v>0</v>
      </c>
      <c r="I99" s="23">
        <f t="shared" si="13"/>
        <v>0</v>
      </c>
      <c r="J99" s="23">
        <f t="shared" si="13"/>
        <v>0</v>
      </c>
      <c r="K99" s="23">
        <f t="shared" si="13"/>
        <v>0</v>
      </c>
      <c r="L99" s="23">
        <f t="shared" si="13"/>
        <v>0</v>
      </c>
      <c r="M99" s="23">
        <f t="shared" si="13"/>
        <v>0</v>
      </c>
      <c r="N99" s="43">
        <f t="shared" si="13"/>
        <v>0</v>
      </c>
      <c r="O99" s="43">
        <f t="shared" si="13"/>
        <v>0</v>
      </c>
      <c r="P99" s="43">
        <f t="shared" si="13"/>
        <v>0</v>
      </c>
      <c r="Q99" s="43">
        <f t="shared" si="13"/>
        <v>0</v>
      </c>
      <c r="R99" s="43">
        <f t="shared" si="13"/>
        <v>0</v>
      </c>
      <c r="S99" s="5"/>
      <c r="T99" s="5"/>
    </row>
    <row r="100" spans="1:21" ht="16.5" customHeight="1">
      <c r="A100" s="29"/>
      <c r="B100" s="51"/>
      <c r="C100" s="57" t="s">
        <v>18</v>
      </c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24"/>
      <c r="S100" s="25"/>
      <c r="T100" s="25"/>
    </row>
    <row r="101" spans="1:21" ht="29.25" customHeight="1">
      <c r="A101" s="26"/>
      <c r="B101" s="5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1"/>
      <c r="T101" s="1"/>
    </row>
    <row r="102" spans="1:21" ht="15.75" customHeight="1">
      <c r="A102" s="156" t="s">
        <v>11</v>
      </c>
      <c r="B102" s="157"/>
      <c r="C102" s="157"/>
      <c r="D102" s="157"/>
      <c r="E102" s="157"/>
      <c r="F102" s="157"/>
      <c r="G102" s="157"/>
      <c r="H102" s="157"/>
      <c r="I102" s="157"/>
      <c r="J102" s="157"/>
      <c r="K102" s="157"/>
      <c r="L102" s="157"/>
      <c r="M102" s="157"/>
      <c r="N102" s="157"/>
      <c r="O102" s="157"/>
      <c r="P102" s="157"/>
      <c r="Q102" s="157"/>
      <c r="R102" s="157"/>
      <c r="S102" s="157"/>
      <c r="T102" s="157"/>
      <c r="U102" s="35"/>
    </row>
  </sheetData>
  <sortState xmlns:xlrd2="http://schemas.microsoft.com/office/spreadsheetml/2017/richdata2" ref="B17:S92">
    <sortCondition ref="B17:B92"/>
  </sortState>
  <mergeCells count="15">
    <mergeCell ref="U10:U12"/>
    <mergeCell ref="D11:H11"/>
    <mergeCell ref="I11:M11"/>
    <mergeCell ref="N11:R11"/>
    <mergeCell ref="A102:T102"/>
    <mergeCell ref="A10:A12"/>
    <mergeCell ref="B10:B12"/>
    <mergeCell ref="C10:C12"/>
    <mergeCell ref="S10:S12"/>
    <mergeCell ref="T10:T12"/>
    <mergeCell ref="A4:T4"/>
    <mergeCell ref="A5:T5"/>
    <mergeCell ref="A6:T6"/>
    <mergeCell ref="P7:T7"/>
    <mergeCell ref="P9:T9"/>
  </mergeCells>
  <conditionalFormatting sqref="D13:R97">
    <cfRule type="containsText" dxfId="12" priority="1" operator="containsText" text="A">
      <formula>NOT(ISERROR(SEARCH("A",D13)))</formula>
    </cfRule>
  </conditionalFormatting>
  <conditionalFormatting sqref="T13:T97">
    <cfRule type="cellIs" dxfId="11" priority="21" operator="lessThan">
      <formula>75</formula>
    </cfRule>
  </conditionalFormatting>
  <conditionalFormatting sqref="U13:U97">
    <cfRule type="containsText" dxfId="10" priority="18" operator="containsText" text="CN">
      <formula>NOT(ISERROR(SEARCH("CN",U13)))</formula>
    </cfRule>
    <cfRule type="containsText" dxfId="9" priority="19" operator="containsText" text="NE">
      <formula>NOT(ISERROR(SEARCH("NE",U13)))</formula>
    </cfRule>
  </conditionalFormatting>
  <pageMargins left="0.70866141732283472" right="0.51181102362204722" top="0.74803149606299213" bottom="0.74803149606299213" header="0.31496062992125984" footer="0.31496062992125984"/>
  <pageSetup scale="8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102"/>
  <sheetViews>
    <sheetView view="pageBreakPreview" topLeftCell="A75" zoomScale="110" zoomScaleNormal="100" zoomScaleSheetLayoutView="110" workbookViewId="0">
      <selection activeCell="B86" sqref="B86:C93"/>
    </sheetView>
  </sheetViews>
  <sheetFormatPr defaultRowHeight="13.8"/>
  <cols>
    <col min="1" max="1" width="5.44140625" customWidth="1"/>
    <col min="2" max="2" width="12.33203125" style="53" customWidth="1"/>
    <col min="3" max="3" width="37.44140625" customWidth="1"/>
    <col min="4" max="18" width="6.6640625" customWidth="1"/>
    <col min="19" max="19" width="6" customWidth="1"/>
    <col min="20" max="20" width="4.33203125" customWidth="1"/>
    <col min="21" max="21" width="5.109375" style="33" customWidth="1"/>
    <col min="23" max="23" width="12.33203125" customWidth="1"/>
  </cols>
  <sheetData>
    <row r="1" spans="1:23" ht="10.5" customHeight="1">
      <c r="A1" s="8"/>
      <c r="B1" s="45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</row>
    <row r="2" spans="1:23" ht="21" customHeight="1">
      <c r="A2" s="9"/>
      <c r="B2" s="46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</row>
    <row r="3" spans="1:23" ht="21.6" customHeight="1">
      <c r="A3" s="9"/>
      <c r="B3" s="46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</row>
    <row r="4" spans="1:23" ht="17.25" customHeight="1">
      <c r="A4" s="145" t="s">
        <v>6</v>
      </c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7"/>
    </row>
    <row r="5" spans="1:23" ht="33" customHeight="1">
      <c r="A5" s="146" t="s">
        <v>10</v>
      </c>
      <c r="B5" s="148"/>
      <c r="C5" s="148"/>
      <c r="D5" s="148"/>
      <c r="E5" s="148"/>
      <c r="F5" s="148"/>
      <c r="G5" s="148"/>
      <c r="H5" s="148"/>
      <c r="I5" s="148"/>
      <c r="J5" s="148"/>
      <c r="K5" s="148"/>
      <c r="L5" s="148"/>
      <c r="M5" s="148"/>
      <c r="N5" s="148"/>
      <c r="O5" s="148"/>
      <c r="P5" s="148"/>
      <c r="Q5" s="148"/>
      <c r="R5" s="148"/>
      <c r="S5" s="148"/>
      <c r="T5" s="148"/>
    </row>
    <row r="6" spans="1:23" ht="31.5" customHeight="1">
      <c r="A6" s="146" t="s">
        <v>22</v>
      </c>
      <c r="B6" s="148"/>
      <c r="C6" s="148"/>
      <c r="D6" s="148"/>
      <c r="E6" s="148"/>
      <c r="F6" s="148"/>
      <c r="G6" s="148"/>
      <c r="H6" s="148"/>
      <c r="I6" s="148"/>
      <c r="J6" s="148"/>
      <c r="K6" s="148"/>
      <c r="L6" s="148"/>
      <c r="M6" s="148"/>
      <c r="N6" s="148"/>
      <c r="O6" s="148"/>
      <c r="P6" s="148"/>
      <c r="Q6" s="148"/>
      <c r="R6" s="148"/>
      <c r="S6" s="148"/>
      <c r="T6" s="148"/>
    </row>
    <row r="7" spans="1:23" ht="18.75" customHeight="1">
      <c r="A7" s="42" t="s">
        <v>195</v>
      </c>
      <c r="B7" s="72"/>
      <c r="C7" s="72"/>
      <c r="D7" s="72"/>
      <c r="E7" s="72"/>
      <c r="F7" s="72"/>
      <c r="G7" s="72"/>
      <c r="H7" s="72"/>
      <c r="I7" s="72"/>
      <c r="J7" s="7"/>
      <c r="K7" s="10"/>
      <c r="L7" s="10"/>
      <c r="M7" s="10"/>
      <c r="N7" s="10"/>
      <c r="O7" s="10"/>
      <c r="P7" s="149" t="s">
        <v>16</v>
      </c>
      <c r="Q7" s="149"/>
      <c r="R7" s="149"/>
      <c r="S7" s="149"/>
      <c r="T7" s="149"/>
    </row>
    <row r="8" spans="1:23" ht="18.75" customHeight="1">
      <c r="A8" s="73" t="s">
        <v>29</v>
      </c>
      <c r="B8" s="89"/>
      <c r="C8" s="89"/>
      <c r="D8" s="89"/>
      <c r="E8" s="89"/>
      <c r="F8" s="89"/>
      <c r="G8" s="89"/>
      <c r="H8" s="89"/>
      <c r="I8" s="89"/>
      <c r="J8" s="7"/>
      <c r="K8" s="10"/>
      <c r="L8" s="10"/>
      <c r="M8" s="10"/>
      <c r="N8" s="10"/>
      <c r="O8" s="10"/>
      <c r="P8" s="34" t="s">
        <v>21</v>
      </c>
      <c r="Q8" s="90"/>
      <c r="R8" s="90"/>
      <c r="S8" s="90"/>
      <c r="T8" s="90"/>
    </row>
    <row r="9" spans="1:23" s="6" customFormat="1" ht="15" customHeight="1">
      <c r="A9" s="20" t="s">
        <v>30</v>
      </c>
      <c r="B9" s="47"/>
      <c r="C9" s="19"/>
      <c r="D9" s="11"/>
      <c r="E9" s="11"/>
      <c r="F9" s="11"/>
      <c r="G9" s="12"/>
      <c r="H9" s="11"/>
      <c r="I9" s="12"/>
      <c r="J9" s="12"/>
      <c r="K9" s="12"/>
      <c r="L9" s="12"/>
      <c r="M9" s="12"/>
      <c r="N9" s="12"/>
      <c r="O9" s="12"/>
      <c r="P9" s="150" t="s">
        <v>7</v>
      </c>
      <c r="Q9" s="150"/>
      <c r="R9" s="150"/>
      <c r="S9" s="150"/>
      <c r="T9" s="150"/>
      <c r="U9" s="34"/>
    </row>
    <row r="10" spans="1:23" ht="13.5" customHeight="1">
      <c r="A10" s="158" t="s">
        <v>19</v>
      </c>
      <c r="B10" s="161" t="s">
        <v>17</v>
      </c>
      <c r="C10" s="162" t="s">
        <v>0</v>
      </c>
      <c r="D10" s="14">
        <v>1</v>
      </c>
      <c r="E10" s="14">
        <v>2</v>
      </c>
      <c r="F10" s="14">
        <v>3</v>
      </c>
      <c r="G10" s="14">
        <v>4</v>
      </c>
      <c r="H10" s="14">
        <v>5</v>
      </c>
      <c r="I10" s="14">
        <v>6</v>
      </c>
      <c r="J10" s="14">
        <v>7</v>
      </c>
      <c r="K10" s="14">
        <v>8</v>
      </c>
      <c r="L10" s="14">
        <v>9</v>
      </c>
      <c r="M10" s="15">
        <v>10</v>
      </c>
      <c r="N10" s="15">
        <v>11</v>
      </c>
      <c r="O10" s="15">
        <v>12</v>
      </c>
      <c r="P10" s="15">
        <v>13</v>
      </c>
      <c r="Q10" s="15">
        <v>14</v>
      </c>
      <c r="R10" s="15">
        <v>15</v>
      </c>
      <c r="S10" s="163" t="s">
        <v>8</v>
      </c>
      <c r="T10" s="166" t="s">
        <v>9</v>
      </c>
      <c r="U10" s="151" t="s">
        <v>20</v>
      </c>
    </row>
    <row r="11" spans="1:23" ht="15.75" customHeight="1">
      <c r="A11" s="159"/>
      <c r="B11" s="161"/>
      <c r="C11" s="162"/>
      <c r="D11" s="154">
        <v>9.0920260000000006</v>
      </c>
      <c r="E11" s="154"/>
      <c r="F11" s="154"/>
      <c r="G11" s="154"/>
      <c r="H11" s="154"/>
      <c r="I11" s="155" t="s">
        <v>32</v>
      </c>
      <c r="J11" s="155"/>
      <c r="K11" s="155"/>
      <c r="L11" s="155"/>
      <c r="M11" s="155"/>
      <c r="N11" s="154" t="s">
        <v>33</v>
      </c>
      <c r="O11" s="154"/>
      <c r="P11" s="154"/>
      <c r="Q11" s="154"/>
      <c r="R11" s="154"/>
      <c r="S11" s="164"/>
      <c r="T11" s="166"/>
      <c r="U11" s="152"/>
    </row>
    <row r="12" spans="1:23" ht="45" customHeight="1">
      <c r="A12" s="160"/>
      <c r="B12" s="161"/>
      <c r="C12" s="162"/>
      <c r="D12" s="18" t="s">
        <v>1</v>
      </c>
      <c r="E12" s="18" t="s">
        <v>2</v>
      </c>
      <c r="F12" s="18" t="s">
        <v>4</v>
      </c>
      <c r="G12" s="18" t="s">
        <v>3</v>
      </c>
      <c r="H12" s="18" t="s">
        <v>5</v>
      </c>
      <c r="I12" s="36" t="s">
        <v>1</v>
      </c>
      <c r="J12" s="36" t="s">
        <v>2</v>
      </c>
      <c r="K12" s="36" t="s">
        <v>4</v>
      </c>
      <c r="L12" s="36" t="s">
        <v>3</v>
      </c>
      <c r="M12" s="36" t="s">
        <v>5</v>
      </c>
      <c r="N12" s="18" t="s">
        <v>1</v>
      </c>
      <c r="O12" s="18" t="s">
        <v>2</v>
      </c>
      <c r="P12" s="18" t="s">
        <v>4</v>
      </c>
      <c r="Q12" s="18" t="s">
        <v>3</v>
      </c>
      <c r="R12" s="18" t="s">
        <v>5</v>
      </c>
      <c r="S12" s="165"/>
      <c r="T12" s="166"/>
      <c r="U12" s="153"/>
    </row>
    <row r="13" spans="1:23" ht="17.850000000000001" customHeight="1">
      <c r="A13" s="44">
        <v>1</v>
      </c>
      <c r="B13" s="95" t="s">
        <v>90</v>
      </c>
      <c r="C13" s="96" t="s">
        <v>91</v>
      </c>
      <c r="D13" s="97" t="s">
        <v>15</v>
      </c>
      <c r="E13" s="97" t="s">
        <v>15</v>
      </c>
      <c r="F13" s="97" t="s">
        <v>15</v>
      </c>
      <c r="G13" s="97" t="s">
        <v>15</v>
      </c>
      <c r="H13" s="97" t="s">
        <v>15</v>
      </c>
      <c r="I13" s="41" t="s">
        <v>197</v>
      </c>
      <c r="J13" s="67"/>
      <c r="K13" s="67"/>
      <c r="L13" s="41"/>
      <c r="M13" s="41"/>
      <c r="N13" s="40"/>
      <c r="O13" s="40"/>
      <c r="P13" s="40"/>
      <c r="Q13" s="40"/>
      <c r="R13" s="40"/>
      <c r="S13" s="13">
        <f t="shared" ref="S13:S44" si="0">COUNTIF(D13:R13,"P")</f>
        <v>0</v>
      </c>
      <c r="T13" s="54">
        <f>ROUND(SUM(S13/15*100),0)</f>
        <v>0</v>
      </c>
      <c r="U13" s="55" t="str">
        <f>IF(T13&gt;=75,"EG",IF(T13&gt;=65,"CN","NE"))</f>
        <v>NE</v>
      </c>
    </row>
    <row r="14" spans="1:23" ht="17.850000000000001" customHeight="1">
      <c r="A14" s="44">
        <v>2</v>
      </c>
      <c r="B14" s="95" t="s">
        <v>100</v>
      </c>
      <c r="C14" s="96" t="s">
        <v>101</v>
      </c>
      <c r="D14" s="40" t="s">
        <v>15</v>
      </c>
      <c r="E14" s="40" t="s">
        <v>15</v>
      </c>
      <c r="F14" s="40" t="s">
        <v>15</v>
      </c>
      <c r="G14" s="40" t="s">
        <v>15</v>
      </c>
      <c r="H14" s="40" t="s">
        <v>15</v>
      </c>
      <c r="I14" s="41" t="s">
        <v>197</v>
      </c>
      <c r="J14" s="67"/>
      <c r="K14" s="67"/>
      <c r="L14" s="41"/>
      <c r="M14" s="41"/>
      <c r="N14" s="40"/>
      <c r="O14" s="40"/>
      <c r="P14" s="40"/>
      <c r="Q14" s="40"/>
      <c r="R14" s="40"/>
      <c r="S14" s="4">
        <f t="shared" si="0"/>
        <v>0</v>
      </c>
      <c r="T14" s="54">
        <f t="shared" ref="T14:T77" si="1">ROUND(SUM(S14/15*100),0)</f>
        <v>0</v>
      </c>
      <c r="U14" s="55" t="str">
        <f t="shared" ref="U14:U77" si="2">IF(T14&gt;=75,"EG",IF(T14&gt;=65,"CN","NE"))</f>
        <v>NE</v>
      </c>
    </row>
    <row r="15" spans="1:23" ht="17.850000000000001" customHeight="1">
      <c r="A15" s="44">
        <v>3</v>
      </c>
      <c r="B15" s="106" t="s">
        <v>128</v>
      </c>
      <c r="C15" s="107" t="s">
        <v>129</v>
      </c>
      <c r="D15" s="40" t="s">
        <v>15</v>
      </c>
      <c r="E15" s="40" t="s">
        <v>15</v>
      </c>
      <c r="F15" s="40" t="s">
        <v>15</v>
      </c>
      <c r="G15" s="40" t="s">
        <v>15</v>
      </c>
      <c r="H15" s="40" t="s">
        <v>15</v>
      </c>
      <c r="I15" s="41" t="s">
        <v>197</v>
      </c>
      <c r="J15" s="67"/>
      <c r="K15" s="67"/>
      <c r="L15" s="41"/>
      <c r="M15" s="41"/>
      <c r="N15" s="40"/>
      <c r="O15" s="40"/>
      <c r="P15" s="40"/>
      <c r="Q15" s="40"/>
      <c r="R15" s="40"/>
      <c r="S15" s="4">
        <f t="shared" si="0"/>
        <v>0</v>
      </c>
      <c r="T15" s="54">
        <f t="shared" si="1"/>
        <v>0</v>
      </c>
      <c r="U15" s="55" t="str">
        <f t="shared" si="2"/>
        <v>NE</v>
      </c>
      <c r="V15" t="s">
        <v>197</v>
      </c>
      <c r="W15" s="56"/>
    </row>
    <row r="16" spans="1:23" ht="17.850000000000001" customHeight="1">
      <c r="A16" s="44">
        <v>4</v>
      </c>
      <c r="B16" s="95" t="s">
        <v>132</v>
      </c>
      <c r="C16" s="96" t="s">
        <v>133</v>
      </c>
      <c r="D16" s="97" t="s">
        <v>15</v>
      </c>
      <c r="E16" s="97" t="s">
        <v>15</v>
      </c>
      <c r="F16" s="97" t="s">
        <v>15</v>
      </c>
      <c r="G16" s="97" t="s">
        <v>15</v>
      </c>
      <c r="H16" s="97" t="s">
        <v>15</v>
      </c>
      <c r="I16" s="41" t="s">
        <v>197</v>
      </c>
      <c r="J16" s="67"/>
      <c r="K16" s="67"/>
      <c r="L16" s="41"/>
      <c r="M16" s="41"/>
      <c r="N16" s="40"/>
      <c r="O16" s="40"/>
      <c r="P16" s="40"/>
      <c r="Q16" s="40"/>
      <c r="R16" s="40"/>
      <c r="S16" s="4">
        <f t="shared" si="0"/>
        <v>0</v>
      </c>
      <c r="T16" s="54">
        <f t="shared" si="1"/>
        <v>0</v>
      </c>
      <c r="U16" s="55" t="str">
        <f t="shared" si="2"/>
        <v>NE</v>
      </c>
    </row>
    <row r="17" spans="1:22" ht="17.850000000000001" customHeight="1">
      <c r="A17" s="44">
        <v>5</v>
      </c>
      <c r="B17" s="99" t="s">
        <v>152</v>
      </c>
      <c r="C17" s="101" t="s">
        <v>153</v>
      </c>
      <c r="D17" s="40" t="s">
        <v>15</v>
      </c>
      <c r="E17" s="40" t="s">
        <v>15</v>
      </c>
      <c r="F17" s="40" t="s">
        <v>15</v>
      </c>
      <c r="G17" s="16" t="s">
        <v>15</v>
      </c>
      <c r="H17" s="16" t="s">
        <v>15</v>
      </c>
      <c r="I17" s="41" t="s">
        <v>197</v>
      </c>
      <c r="J17" s="67"/>
      <c r="K17" s="67"/>
      <c r="L17" s="41"/>
      <c r="M17" s="41"/>
      <c r="N17" s="40"/>
      <c r="O17" s="40"/>
      <c r="P17" s="40"/>
      <c r="Q17" s="40"/>
      <c r="R17" s="40"/>
      <c r="S17" s="4">
        <f t="shared" si="0"/>
        <v>0</v>
      </c>
      <c r="T17" s="54">
        <f t="shared" si="1"/>
        <v>0</v>
      </c>
      <c r="U17" s="55" t="str">
        <f t="shared" si="2"/>
        <v>NE</v>
      </c>
    </row>
    <row r="18" spans="1:22" ht="17.850000000000001" customHeight="1">
      <c r="A18" s="44">
        <v>6</v>
      </c>
      <c r="B18" s="99" t="s">
        <v>158</v>
      </c>
      <c r="C18" s="101" t="s">
        <v>159</v>
      </c>
      <c r="D18" s="40" t="s">
        <v>15</v>
      </c>
      <c r="E18" s="40" t="s">
        <v>15</v>
      </c>
      <c r="F18" s="40" t="s">
        <v>15</v>
      </c>
      <c r="G18" s="16" t="s">
        <v>15</v>
      </c>
      <c r="H18" s="16" t="s">
        <v>15</v>
      </c>
      <c r="I18" s="41"/>
      <c r="J18" s="67" t="s">
        <v>198</v>
      </c>
      <c r="K18" s="67" t="s">
        <v>199</v>
      </c>
      <c r="L18" s="41"/>
      <c r="M18" s="41"/>
      <c r="N18" s="40"/>
      <c r="O18" s="40"/>
      <c r="P18" s="40"/>
      <c r="Q18" s="40"/>
      <c r="R18" s="40"/>
      <c r="S18" s="4">
        <f t="shared" si="0"/>
        <v>0</v>
      </c>
      <c r="T18" s="54">
        <f t="shared" si="1"/>
        <v>0</v>
      </c>
      <c r="U18" s="55" t="str">
        <f t="shared" si="2"/>
        <v>NE</v>
      </c>
      <c r="V18" s="56"/>
    </row>
    <row r="19" spans="1:22" ht="17.850000000000001" customHeight="1">
      <c r="A19" s="44">
        <v>7</v>
      </c>
      <c r="B19" s="99" t="s">
        <v>168</v>
      </c>
      <c r="C19" s="101" t="s">
        <v>169</v>
      </c>
      <c r="D19" s="97" t="s">
        <v>15</v>
      </c>
      <c r="E19" s="97" t="s">
        <v>15</v>
      </c>
      <c r="F19" s="97" t="s">
        <v>15</v>
      </c>
      <c r="G19" s="98" t="s">
        <v>15</v>
      </c>
      <c r="H19" s="98" t="s">
        <v>15</v>
      </c>
      <c r="I19" s="41" t="s">
        <v>197</v>
      </c>
      <c r="J19" s="67"/>
      <c r="K19" s="67"/>
      <c r="L19" s="41"/>
      <c r="M19" s="41"/>
      <c r="N19" s="17"/>
      <c r="O19" s="17"/>
      <c r="P19" s="17"/>
      <c r="Q19" s="17"/>
      <c r="R19" s="17"/>
      <c r="S19" s="4">
        <f t="shared" si="0"/>
        <v>0</v>
      </c>
      <c r="T19" s="54">
        <f t="shared" si="1"/>
        <v>0</v>
      </c>
      <c r="U19" s="55" t="str">
        <f t="shared" si="2"/>
        <v>NE</v>
      </c>
    </row>
    <row r="20" spans="1:22" ht="17.850000000000001" customHeight="1">
      <c r="A20" s="44">
        <v>8</v>
      </c>
      <c r="B20" s="99" t="s">
        <v>186</v>
      </c>
      <c r="C20" s="101" t="s">
        <v>187</v>
      </c>
      <c r="D20" s="17" t="s">
        <v>15</v>
      </c>
      <c r="E20" s="17" t="s">
        <v>15</v>
      </c>
      <c r="F20" s="17" t="s">
        <v>15</v>
      </c>
      <c r="G20" s="17" t="s">
        <v>15</v>
      </c>
      <c r="H20" s="17" t="s">
        <v>15</v>
      </c>
      <c r="I20" s="41" t="s">
        <v>197</v>
      </c>
      <c r="J20" s="67"/>
      <c r="K20" s="67"/>
      <c r="L20" s="41"/>
      <c r="M20" s="41"/>
      <c r="N20" s="17"/>
      <c r="O20" s="17"/>
      <c r="P20" s="17"/>
      <c r="Q20" s="17"/>
      <c r="R20" s="17"/>
      <c r="S20" s="4">
        <f t="shared" si="0"/>
        <v>0</v>
      </c>
      <c r="T20" s="54">
        <f t="shared" si="1"/>
        <v>0</v>
      </c>
      <c r="U20" s="55" t="str">
        <f t="shared" si="2"/>
        <v>NE</v>
      </c>
      <c r="V20" s="56"/>
    </row>
    <row r="21" spans="1:22" ht="17.850000000000001" customHeight="1">
      <c r="A21" s="44">
        <v>9</v>
      </c>
      <c r="B21" s="58" t="s">
        <v>58</v>
      </c>
      <c r="C21" s="66" t="s">
        <v>59</v>
      </c>
      <c r="D21" s="40" t="s">
        <v>14</v>
      </c>
      <c r="E21" s="40" t="s">
        <v>14</v>
      </c>
      <c r="F21" s="40" t="s">
        <v>14</v>
      </c>
      <c r="G21" s="17" t="s">
        <v>15</v>
      </c>
      <c r="H21" s="17" t="s">
        <v>15</v>
      </c>
      <c r="I21" s="41"/>
      <c r="J21" s="67"/>
      <c r="K21" s="67"/>
      <c r="L21" s="41"/>
      <c r="M21" s="41"/>
      <c r="N21" s="17"/>
      <c r="O21" s="17"/>
      <c r="P21" s="17"/>
      <c r="Q21" s="17"/>
      <c r="R21" s="17"/>
      <c r="S21" s="4">
        <f t="shared" si="0"/>
        <v>3</v>
      </c>
      <c r="T21" s="54">
        <f t="shared" si="1"/>
        <v>20</v>
      </c>
      <c r="U21" s="55" t="str">
        <f t="shared" si="2"/>
        <v>NE</v>
      </c>
    </row>
    <row r="22" spans="1:22" ht="17.850000000000001" customHeight="1">
      <c r="A22" s="44">
        <v>10</v>
      </c>
      <c r="B22" s="58" t="s">
        <v>60</v>
      </c>
      <c r="C22" s="66" t="s">
        <v>61</v>
      </c>
      <c r="D22" s="40" t="s">
        <v>14</v>
      </c>
      <c r="E22" s="40" t="s">
        <v>14</v>
      </c>
      <c r="F22" s="40" t="s">
        <v>14</v>
      </c>
      <c r="G22" s="17" t="s">
        <v>15</v>
      </c>
      <c r="H22" s="17" t="s">
        <v>15</v>
      </c>
      <c r="I22" s="41"/>
      <c r="J22" s="67"/>
      <c r="K22" s="67"/>
      <c r="L22" s="41"/>
      <c r="M22" s="41"/>
      <c r="N22" s="17"/>
      <c r="O22" s="17"/>
      <c r="P22" s="17"/>
      <c r="Q22" s="17"/>
      <c r="R22" s="17"/>
      <c r="S22" s="4">
        <f t="shared" si="0"/>
        <v>3</v>
      </c>
      <c r="T22" s="54">
        <f t="shared" si="1"/>
        <v>20</v>
      </c>
      <c r="U22" s="55" t="str">
        <f t="shared" si="2"/>
        <v>NE</v>
      </c>
    </row>
    <row r="23" spans="1:22" ht="17.850000000000001" customHeight="1">
      <c r="A23" s="44">
        <v>11</v>
      </c>
      <c r="B23" s="58" t="s">
        <v>62</v>
      </c>
      <c r="C23" s="66" t="s">
        <v>63</v>
      </c>
      <c r="D23" s="40" t="s">
        <v>14</v>
      </c>
      <c r="E23" s="40" t="s">
        <v>14</v>
      </c>
      <c r="F23" s="40" t="s">
        <v>14</v>
      </c>
      <c r="G23" s="17" t="s">
        <v>15</v>
      </c>
      <c r="H23" s="17" t="s">
        <v>15</v>
      </c>
      <c r="I23" s="41"/>
      <c r="J23" s="67"/>
      <c r="K23" s="67"/>
      <c r="L23" s="41"/>
      <c r="M23" s="41"/>
      <c r="N23" s="17"/>
      <c r="O23" s="17"/>
      <c r="P23" s="17"/>
      <c r="Q23" s="17"/>
      <c r="R23" s="17"/>
      <c r="S23" s="4">
        <f t="shared" si="0"/>
        <v>3</v>
      </c>
      <c r="T23" s="54">
        <f t="shared" si="1"/>
        <v>20</v>
      </c>
      <c r="U23" s="55" t="str">
        <f t="shared" si="2"/>
        <v>NE</v>
      </c>
    </row>
    <row r="24" spans="1:22" ht="17.850000000000001" customHeight="1">
      <c r="A24" s="44">
        <v>12</v>
      </c>
      <c r="B24" s="58" t="s">
        <v>68</v>
      </c>
      <c r="C24" s="66" t="s">
        <v>69</v>
      </c>
      <c r="D24" s="40" t="s">
        <v>14</v>
      </c>
      <c r="E24" s="40" t="s">
        <v>14</v>
      </c>
      <c r="F24" s="40" t="s">
        <v>14</v>
      </c>
      <c r="G24" s="17" t="s">
        <v>15</v>
      </c>
      <c r="H24" s="17" t="s">
        <v>15</v>
      </c>
      <c r="I24" s="41"/>
      <c r="J24" s="67"/>
      <c r="K24" s="67"/>
      <c r="L24" s="41"/>
      <c r="M24" s="41"/>
      <c r="N24" s="17"/>
      <c r="O24" s="17"/>
      <c r="P24" s="17"/>
      <c r="Q24" s="17"/>
      <c r="R24" s="17"/>
      <c r="S24" s="4">
        <f t="shared" si="0"/>
        <v>3</v>
      </c>
      <c r="T24" s="54">
        <f t="shared" si="1"/>
        <v>20</v>
      </c>
      <c r="U24" s="55" t="str">
        <f t="shared" si="2"/>
        <v>NE</v>
      </c>
    </row>
    <row r="25" spans="1:22" ht="17.850000000000001" customHeight="1">
      <c r="A25" s="44">
        <v>13</v>
      </c>
      <c r="B25" s="58" t="s">
        <v>74</v>
      </c>
      <c r="C25" s="66" t="s">
        <v>75</v>
      </c>
      <c r="D25" s="40" t="s">
        <v>14</v>
      </c>
      <c r="E25" s="40" t="s">
        <v>14</v>
      </c>
      <c r="F25" s="40" t="s">
        <v>14</v>
      </c>
      <c r="G25" s="17" t="s">
        <v>15</v>
      </c>
      <c r="H25" s="17" t="s">
        <v>15</v>
      </c>
      <c r="I25" s="41"/>
      <c r="J25" s="67"/>
      <c r="K25" s="67"/>
      <c r="L25" s="41"/>
      <c r="M25" s="41"/>
      <c r="N25" s="17"/>
      <c r="O25" s="17"/>
      <c r="P25" s="17"/>
      <c r="Q25" s="17"/>
      <c r="R25" s="17"/>
      <c r="S25" s="4">
        <f t="shared" si="0"/>
        <v>3</v>
      </c>
      <c r="T25" s="54">
        <f t="shared" si="1"/>
        <v>20</v>
      </c>
      <c r="U25" s="55" t="str">
        <f t="shared" si="2"/>
        <v>NE</v>
      </c>
    </row>
    <row r="26" spans="1:22" ht="17.850000000000001" customHeight="1">
      <c r="A26" s="44">
        <v>14</v>
      </c>
      <c r="B26" s="58" t="s">
        <v>114</v>
      </c>
      <c r="C26" s="66" t="s">
        <v>115</v>
      </c>
      <c r="D26" s="40" t="s">
        <v>14</v>
      </c>
      <c r="E26" s="40" t="s">
        <v>14</v>
      </c>
      <c r="F26" s="40" t="s">
        <v>14</v>
      </c>
      <c r="G26" s="17" t="s">
        <v>15</v>
      </c>
      <c r="H26" s="17" t="s">
        <v>15</v>
      </c>
      <c r="I26" s="41"/>
      <c r="J26" s="67"/>
      <c r="K26" s="67"/>
      <c r="L26" s="41"/>
      <c r="M26" s="41"/>
      <c r="N26" s="17"/>
      <c r="O26" s="17"/>
      <c r="P26" s="17"/>
      <c r="Q26" s="17"/>
      <c r="R26" s="17"/>
      <c r="S26" s="4">
        <f t="shared" si="0"/>
        <v>3</v>
      </c>
      <c r="T26" s="54">
        <f t="shared" si="1"/>
        <v>20</v>
      </c>
      <c r="U26" s="55" t="str">
        <f t="shared" si="2"/>
        <v>NE</v>
      </c>
    </row>
    <row r="27" spans="1:22" ht="17.850000000000001" customHeight="1">
      <c r="A27" s="44">
        <v>15</v>
      </c>
      <c r="B27" s="58" t="s">
        <v>124</v>
      </c>
      <c r="C27" s="66" t="s">
        <v>125</v>
      </c>
      <c r="D27" s="40" t="s">
        <v>14</v>
      </c>
      <c r="E27" s="40" t="s">
        <v>14</v>
      </c>
      <c r="F27" s="40" t="s">
        <v>14</v>
      </c>
      <c r="G27" s="17" t="s">
        <v>15</v>
      </c>
      <c r="H27" s="17" t="s">
        <v>15</v>
      </c>
      <c r="I27" s="41"/>
      <c r="J27" s="67"/>
      <c r="K27" s="67"/>
      <c r="L27" s="41"/>
      <c r="M27" s="41"/>
      <c r="N27" s="17"/>
      <c r="O27" s="17"/>
      <c r="P27" s="17"/>
      <c r="Q27" s="17"/>
      <c r="R27" s="17"/>
      <c r="S27" s="4">
        <f t="shared" si="0"/>
        <v>3</v>
      </c>
      <c r="T27" s="54">
        <f t="shared" si="1"/>
        <v>20</v>
      </c>
      <c r="U27" s="55" t="str">
        <f t="shared" si="2"/>
        <v>NE</v>
      </c>
    </row>
    <row r="28" spans="1:22" ht="17.850000000000001" customHeight="1">
      <c r="A28" s="44">
        <v>16</v>
      </c>
      <c r="B28" s="58" t="s">
        <v>42</v>
      </c>
      <c r="C28" s="66" t="s">
        <v>43</v>
      </c>
      <c r="D28" s="40" t="s">
        <v>15</v>
      </c>
      <c r="E28" s="40" t="s">
        <v>14</v>
      </c>
      <c r="F28" s="40" t="s">
        <v>14</v>
      </c>
      <c r="G28" s="17" t="s">
        <v>14</v>
      </c>
      <c r="H28" s="17" t="s">
        <v>14</v>
      </c>
      <c r="I28" s="41"/>
      <c r="J28" s="67"/>
      <c r="K28" s="67"/>
      <c r="L28" s="41"/>
      <c r="M28" s="41"/>
      <c r="N28" s="17"/>
      <c r="O28" s="17"/>
      <c r="P28" s="17"/>
      <c r="Q28" s="17"/>
      <c r="R28" s="17"/>
      <c r="S28" s="4">
        <f t="shared" si="0"/>
        <v>4</v>
      </c>
      <c r="T28" s="54">
        <f t="shared" si="1"/>
        <v>27</v>
      </c>
      <c r="U28" s="55" t="str">
        <f t="shared" si="2"/>
        <v>NE</v>
      </c>
    </row>
    <row r="29" spans="1:22" ht="17.850000000000001" customHeight="1">
      <c r="A29" s="44">
        <v>17</v>
      </c>
      <c r="B29" s="58" t="s">
        <v>70</v>
      </c>
      <c r="C29" s="66" t="s">
        <v>71</v>
      </c>
      <c r="D29" s="40" t="s">
        <v>15</v>
      </c>
      <c r="E29" s="40" t="s">
        <v>14</v>
      </c>
      <c r="F29" s="40" t="s">
        <v>14</v>
      </c>
      <c r="G29" s="17" t="s">
        <v>14</v>
      </c>
      <c r="H29" s="17" t="s">
        <v>14</v>
      </c>
      <c r="I29" s="41"/>
      <c r="J29" s="67"/>
      <c r="K29" s="67"/>
      <c r="L29" s="41"/>
      <c r="M29" s="41"/>
      <c r="N29" s="17"/>
      <c r="O29" s="17"/>
      <c r="P29" s="17"/>
      <c r="Q29" s="17"/>
      <c r="R29" s="17"/>
      <c r="S29" s="4">
        <f t="shared" si="0"/>
        <v>4</v>
      </c>
      <c r="T29" s="54">
        <f t="shared" si="1"/>
        <v>27</v>
      </c>
      <c r="U29" s="55" t="str">
        <f t="shared" si="2"/>
        <v>NE</v>
      </c>
    </row>
    <row r="30" spans="1:22" ht="17.850000000000001" customHeight="1">
      <c r="A30" s="44">
        <v>18</v>
      </c>
      <c r="B30" s="58" t="s">
        <v>72</v>
      </c>
      <c r="C30" s="66" t="s">
        <v>73</v>
      </c>
      <c r="D30" s="40" t="s">
        <v>15</v>
      </c>
      <c r="E30" s="40" t="s">
        <v>14</v>
      </c>
      <c r="F30" s="40" t="s">
        <v>14</v>
      </c>
      <c r="G30" s="17" t="s">
        <v>14</v>
      </c>
      <c r="H30" s="17" t="s">
        <v>14</v>
      </c>
      <c r="I30" s="41"/>
      <c r="J30" s="67"/>
      <c r="K30" s="67"/>
      <c r="L30" s="41"/>
      <c r="M30" s="41"/>
      <c r="N30" s="17"/>
      <c r="O30" s="17"/>
      <c r="P30" s="17"/>
      <c r="Q30" s="17"/>
      <c r="R30" s="17"/>
      <c r="S30" s="4">
        <f t="shared" si="0"/>
        <v>4</v>
      </c>
      <c r="T30" s="54">
        <f t="shared" si="1"/>
        <v>27</v>
      </c>
      <c r="U30" s="55" t="str">
        <f t="shared" si="2"/>
        <v>NE</v>
      </c>
    </row>
    <row r="31" spans="1:22" ht="17.850000000000001" customHeight="1">
      <c r="A31" s="44">
        <v>19</v>
      </c>
      <c r="B31" s="58" t="s">
        <v>82</v>
      </c>
      <c r="C31" s="66" t="s">
        <v>83</v>
      </c>
      <c r="D31" s="40" t="s">
        <v>15</v>
      </c>
      <c r="E31" s="40" t="s">
        <v>14</v>
      </c>
      <c r="F31" s="40" t="s">
        <v>14</v>
      </c>
      <c r="G31" s="17" t="s">
        <v>14</v>
      </c>
      <c r="H31" s="17" t="s">
        <v>14</v>
      </c>
      <c r="I31" s="41"/>
      <c r="J31" s="67"/>
      <c r="K31" s="67"/>
      <c r="L31" s="41"/>
      <c r="M31" s="41"/>
      <c r="N31" s="17"/>
      <c r="O31" s="17"/>
      <c r="P31" s="17"/>
      <c r="Q31" s="17"/>
      <c r="R31" s="17"/>
      <c r="S31" s="4">
        <f t="shared" si="0"/>
        <v>4</v>
      </c>
      <c r="T31" s="54">
        <f t="shared" si="1"/>
        <v>27</v>
      </c>
      <c r="U31" s="55" t="str">
        <f t="shared" si="2"/>
        <v>NE</v>
      </c>
    </row>
    <row r="32" spans="1:22" ht="17.850000000000001" customHeight="1">
      <c r="A32" s="44">
        <v>20</v>
      </c>
      <c r="B32" s="58" t="s">
        <v>118</v>
      </c>
      <c r="C32" s="66" t="s">
        <v>119</v>
      </c>
      <c r="D32" s="40" t="s">
        <v>14</v>
      </c>
      <c r="E32" s="40" t="s">
        <v>14</v>
      </c>
      <c r="F32" s="40" t="s">
        <v>15</v>
      </c>
      <c r="G32" s="17" t="s">
        <v>14</v>
      </c>
      <c r="H32" s="17" t="s">
        <v>14</v>
      </c>
      <c r="I32" s="41"/>
      <c r="J32" s="67"/>
      <c r="K32" s="67"/>
      <c r="L32" s="41"/>
      <c r="M32" s="41"/>
      <c r="N32" s="17"/>
      <c r="O32" s="17"/>
      <c r="P32" s="17"/>
      <c r="Q32" s="17"/>
      <c r="R32" s="17"/>
      <c r="S32" s="4">
        <f t="shared" si="0"/>
        <v>4</v>
      </c>
      <c r="T32" s="54">
        <f t="shared" si="1"/>
        <v>27</v>
      </c>
      <c r="U32" s="55" t="str">
        <f t="shared" si="2"/>
        <v>NE</v>
      </c>
    </row>
    <row r="33" spans="1:22" ht="17.850000000000001" customHeight="1">
      <c r="A33" s="44">
        <v>21</v>
      </c>
      <c r="B33" s="58" t="s">
        <v>122</v>
      </c>
      <c r="C33" s="66" t="s">
        <v>123</v>
      </c>
      <c r="D33" s="40" t="s">
        <v>14</v>
      </c>
      <c r="E33" s="40" t="s">
        <v>14</v>
      </c>
      <c r="F33" s="40" t="s">
        <v>15</v>
      </c>
      <c r="G33" s="17" t="s">
        <v>14</v>
      </c>
      <c r="H33" s="17" t="s">
        <v>14</v>
      </c>
      <c r="I33" s="41"/>
      <c r="J33" s="67"/>
      <c r="K33" s="67"/>
      <c r="L33" s="41"/>
      <c r="M33" s="41"/>
      <c r="N33" s="17"/>
      <c r="O33" s="17"/>
      <c r="P33" s="17"/>
      <c r="Q33" s="17"/>
      <c r="R33" s="17"/>
      <c r="S33" s="4">
        <f t="shared" si="0"/>
        <v>4</v>
      </c>
      <c r="T33" s="54">
        <f t="shared" si="1"/>
        <v>27</v>
      </c>
      <c r="U33" s="55" t="str">
        <f t="shared" si="2"/>
        <v>NE</v>
      </c>
    </row>
    <row r="34" spans="1:22" ht="17.850000000000001" customHeight="1">
      <c r="A34" s="44">
        <v>22</v>
      </c>
      <c r="B34" s="91" t="s">
        <v>160</v>
      </c>
      <c r="C34" s="92" t="s">
        <v>161</v>
      </c>
      <c r="D34" s="40" t="s">
        <v>15</v>
      </c>
      <c r="E34" s="40" t="s">
        <v>14</v>
      </c>
      <c r="F34" s="40" t="s">
        <v>14</v>
      </c>
      <c r="G34" s="17" t="s">
        <v>14</v>
      </c>
      <c r="H34" s="17" t="s">
        <v>14</v>
      </c>
      <c r="I34" s="41"/>
      <c r="J34" s="67"/>
      <c r="K34" s="67"/>
      <c r="L34" s="41"/>
      <c r="M34" s="41"/>
      <c r="N34" s="17"/>
      <c r="O34" s="17"/>
      <c r="P34" s="17"/>
      <c r="Q34" s="17"/>
      <c r="R34" s="17"/>
      <c r="S34" s="4">
        <f t="shared" si="0"/>
        <v>4</v>
      </c>
      <c r="T34" s="54">
        <f t="shared" si="1"/>
        <v>27</v>
      </c>
      <c r="U34" s="55" t="str">
        <f t="shared" si="2"/>
        <v>NE</v>
      </c>
    </row>
    <row r="35" spans="1:22" ht="17.850000000000001" customHeight="1">
      <c r="A35" s="44">
        <v>23</v>
      </c>
      <c r="B35" s="58" t="s">
        <v>34</v>
      </c>
      <c r="C35" s="66" t="s">
        <v>35</v>
      </c>
      <c r="D35" s="40" t="s">
        <v>14</v>
      </c>
      <c r="E35" s="40" t="s">
        <v>14</v>
      </c>
      <c r="F35" s="40" t="s">
        <v>14</v>
      </c>
      <c r="G35" s="17" t="s">
        <v>14</v>
      </c>
      <c r="H35" s="17" t="s">
        <v>14</v>
      </c>
      <c r="I35" s="41"/>
      <c r="J35" s="67"/>
      <c r="K35" s="67"/>
      <c r="L35" s="41"/>
      <c r="M35" s="41"/>
      <c r="N35" s="17"/>
      <c r="O35" s="17"/>
      <c r="P35" s="17"/>
      <c r="Q35" s="17"/>
      <c r="R35" s="17"/>
      <c r="S35" s="4">
        <f t="shared" si="0"/>
        <v>5</v>
      </c>
      <c r="T35" s="54">
        <f t="shared" si="1"/>
        <v>33</v>
      </c>
      <c r="U35" s="55" t="str">
        <f t="shared" si="2"/>
        <v>NE</v>
      </c>
    </row>
    <row r="36" spans="1:22" ht="17.850000000000001" customHeight="1">
      <c r="A36" s="44">
        <v>24</v>
      </c>
      <c r="B36" s="58" t="s">
        <v>36</v>
      </c>
      <c r="C36" s="66" t="s">
        <v>37</v>
      </c>
      <c r="D36" s="40" t="s">
        <v>14</v>
      </c>
      <c r="E36" s="40" t="s">
        <v>14</v>
      </c>
      <c r="F36" s="40" t="s">
        <v>14</v>
      </c>
      <c r="G36" s="17" t="s">
        <v>14</v>
      </c>
      <c r="H36" s="17" t="s">
        <v>14</v>
      </c>
      <c r="I36" s="41"/>
      <c r="J36" s="67"/>
      <c r="K36" s="67"/>
      <c r="L36" s="41"/>
      <c r="M36" s="41"/>
      <c r="N36" s="17"/>
      <c r="O36" s="17"/>
      <c r="P36" s="17"/>
      <c r="Q36" s="17"/>
      <c r="R36" s="17"/>
      <c r="S36" s="4">
        <f t="shared" si="0"/>
        <v>5</v>
      </c>
      <c r="T36" s="54">
        <f t="shared" si="1"/>
        <v>33</v>
      </c>
      <c r="U36" s="55" t="str">
        <f t="shared" si="2"/>
        <v>NE</v>
      </c>
    </row>
    <row r="37" spans="1:22" ht="17.850000000000001" customHeight="1">
      <c r="A37" s="44">
        <v>25</v>
      </c>
      <c r="B37" s="58" t="s">
        <v>38</v>
      </c>
      <c r="C37" s="66" t="s">
        <v>39</v>
      </c>
      <c r="D37" s="17" t="s">
        <v>14</v>
      </c>
      <c r="E37" s="40" t="s">
        <v>14</v>
      </c>
      <c r="F37" s="40" t="s">
        <v>14</v>
      </c>
      <c r="G37" s="17" t="s">
        <v>14</v>
      </c>
      <c r="H37" s="17" t="s">
        <v>14</v>
      </c>
      <c r="I37" s="41"/>
      <c r="J37" s="67"/>
      <c r="K37" s="67"/>
      <c r="L37" s="41"/>
      <c r="M37" s="41"/>
      <c r="N37" s="17"/>
      <c r="O37" s="17"/>
      <c r="P37" s="17"/>
      <c r="Q37" s="17"/>
      <c r="R37" s="17"/>
      <c r="S37" s="4">
        <f t="shared" si="0"/>
        <v>5</v>
      </c>
      <c r="T37" s="54">
        <f t="shared" si="1"/>
        <v>33</v>
      </c>
      <c r="U37" s="55" t="str">
        <f t="shared" si="2"/>
        <v>NE</v>
      </c>
      <c r="V37" s="56" t="s">
        <v>27</v>
      </c>
    </row>
    <row r="38" spans="1:22" ht="17.850000000000001" customHeight="1">
      <c r="A38" s="44">
        <v>26</v>
      </c>
      <c r="B38" s="58" t="s">
        <v>40</v>
      </c>
      <c r="C38" s="66" t="s">
        <v>41</v>
      </c>
      <c r="D38" s="40" t="s">
        <v>14</v>
      </c>
      <c r="E38" s="40" t="s">
        <v>14</v>
      </c>
      <c r="F38" s="40" t="s">
        <v>14</v>
      </c>
      <c r="G38" s="17" t="s">
        <v>14</v>
      </c>
      <c r="H38" s="17" t="s">
        <v>14</v>
      </c>
      <c r="I38" s="41"/>
      <c r="J38" s="67"/>
      <c r="K38" s="67"/>
      <c r="L38" s="41"/>
      <c r="M38" s="41"/>
      <c r="N38" s="17"/>
      <c r="O38" s="17"/>
      <c r="P38" s="17"/>
      <c r="Q38" s="17"/>
      <c r="R38" s="17"/>
      <c r="S38" s="4">
        <f t="shared" si="0"/>
        <v>5</v>
      </c>
      <c r="T38" s="54">
        <f t="shared" si="1"/>
        <v>33</v>
      </c>
      <c r="U38" s="55" t="str">
        <f t="shared" si="2"/>
        <v>NE</v>
      </c>
    </row>
    <row r="39" spans="1:22" ht="17.850000000000001" customHeight="1">
      <c r="A39" s="44">
        <v>27</v>
      </c>
      <c r="B39" s="58" t="s">
        <v>44</v>
      </c>
      <c r="C39" s="66" t="s">
        <v>45</v>
      </c>
      <c r="D39" s="40" t="s">
        <v>14</v>
      </c>
      <c r="E39" s="40" t="s">
        <v>14</v>
      </c>
      <c r="F39" s="40" t="s">
        <v>14</v>
      </c>
      <c r="G39" s="17" t="s">
        <v>14</v>
      </c>
      <c r="H39" s="17" t="s">
        <v>14</v>
      </c>
      <c r="I39" s="41"/>
      <c r="J39" s="67"/>
      <c r="K39" s="67"/>
      <c r="L39" s="41"/>
      <c r="M39" s="41"/>
      <c r="N39" s="17"/>
      <c r="O39" s="17"/>
      <c r="P39" s="17"/>
      <c r="Q39" s="17"/>
      <c r="R39" s="17"/>
      <c r="S39" s="4">
        <f t="shared" si="0"/>
        <v>5</v>
      </c>
      <c r="T39" s="54">
        <f t="shared" si="1"/>
        <v>33</v>
      </c>
      <c r="U39" s="55" t="str">
        <f t="shared" si="2"/>
        <v>NE</v>
      </c>
    </row>
    <row r="40" spans="1:22" ht="17.850000000000001" customHeight="1">
      <c r="A40" s="44">
        <v>28</v>
      </c>
      <c r="B40" s="58" t="s">
        <v>46</v>
      </c>
      <c r="C40" s="66" t="s">
        <v>47</v>
      </c>
      <c r="D40" s="40" t="s">
        <v>14</v>
      </c>
      <c r="E40" s="40" t="s">
        <v>14</v>
      </c>
      <c r="F40" s="40" t="s">
        <v>14</v>
      </c>
      <c r="G40" s="17" t="s">
        <v>14</v>
      </c>
      <c r="H40" s="17" t="s">
        <v>14</v>
      </c>
      <c r="I40" s="41"/>
      <c r="J40" s="67"/>
      <c r="K40" s="67"/>
      <c r="L40" s="41"/>
      <c r="M40" s="41"/>
      <c r="N40" s="17"/>
      <c r="O40" s="17"/>
      <c r="P40" s="17"/>
      <c r="Q40" s="17"/>
      <c r="R40" s="17"/>
      <c r="S40" s="4">
        <f t="shared" si="0"/>
        <v>5</v>
      </c>
      <c r="T40" s="54">
        <f t="shared" si="1"/>
        <v>33</v>
      </c>
      <c r="U40" s="55" t="str">
        <f t="shared" si="2"/>
        <v>NE</v>
      </c>
    </row>
    <row r="41" spans="1:22" ht="17.850000000000001" customHeight="1">
      <c r="A41" s="44">
        <v>29</v>
      </c>
      <c r="B41" s="58" t="s">
        <v>48</v>
      </c>
      <c r="C41" s="66" t="s">
        <v>49</v>
      </c>
      <c r="D41" s="40" t="s">
        <v>14</v>
      </c>
      <c r="E41" s="40" t="s">
        <v>14</v>
      </c>
      <c r="F41" s="40" t="s">
        <v>14</v>
      </c>
      <c r="G41" s="17" t="s">
        <v>14</v>
      </c>
      <c r="H41" s="17" t="s">
        <v>14</v>
      </c>
      <c r="I41" s="41"/>
      <c r="J41" s="67"/>
      <c r="K41" s="67"/>
      <c r="L41" s="41"/>
      <c r="M41" s="41"/>
      <c r="N41" s="17"/>
      <c r="O41" s="17"/>
      <c r="P41" s="17"/>
      <c r="Q41" s="17"/>
      <c r="R41" s="17"/>
      <c r="S41" s="4">
        <f t="shared" si="0"/>
        <v>5</v>
      </c>
      <c r="T41" s="54">
        <f t="shared" si="1"/>
        <v>33</v>
      </c>
      <c r="U41" s="55" t="str">
        <f t="shared" si="2"/>
        <v>NE</v>
      </c>
    </row>
    <row r="42" spans="1:22" ht="17.850000000000001" customHeight="1">
      <c r="A42" s="44">
        <v>30</v>
      </c>
      <c r="B42" s="58" t="s">
        <v>50</v>
      </c>
      <c r="C42" s="66" t="s">
        <v>51</v>
      </c>
      <c r="D42" s="40" t="s">
        <v>14</v>
      </c>
      <c r="E42" s="40" t="s">
        <v>14</v>
      </c>
      <c r="F42" s="40" t="s">
        <v>14</v>
      </c>
      <c r="G42" s="17" t="s">
        <v>14</v>
      </c>
      <c r="H42" s="17" t="s">
        <v>14</v>
      </c>
      <c r="I42" s="41"/>
      <c r="J42" s="67"/>
      <c r="K42" s="67"/>
      <c r="L42" s="41"/>
      <c r="M42" s="41"/>
      <c r="N42" s="17"/>
      <c r="O42" s="17"/>
      <c r="P42" s="17"/>
      <c r="Q42" s="17"/>
      <c r="R42" s="17"/>
      <c r="S42" s="4">
        <f t="shared" si="0"/>
        <v>5</v>
      </c>
      <c r="T42" s="54">
        <f t="shared" si="1"/>
        <v>33</v>
      </c>
      <c r="U42" s="55" t="str">
        <f t="shared" si="2"/>
        <v>NE</v>
      </c>
    </row>
    <row r="43" spans="1:22" ht="17.850000000000001" customHeight="1">
      <c r="A43" s="44">
        <v>31</v>
      </c>
      <c r="B43" s="58" t="s">
        <v>52</v>
      </c>
      <c r="C43" s="66" t="s">
        <v>53</v>
      </c>
      <c r="D43" s="40" t="s">
        <v>14</v>
      </c>
      <c r="E43" s="40" t="s">
        <v>14</v>
      </c>
      <c r="F43" s="40" t="s">
        <v>14</v>
      </c>
      <c r="G43" s="17" t="s">
        <v>14</v>
      </c>
      <c r="H43" s="17" t="s">
        <v>14</v>
      </c>
      <c r="I43" s="41"/>
      <c r="J43" s="67"/>
      <c r="K43" s="67"/>
      <c r="L43" s="41"/>
      <c r="M43" s="41"/>
      <c r="N43" s="17"/>
      <c r="O43" s="17"/>
      <c r="P43" s="17"/>
      <c r="Q43" s="17"/>
      <c r="R43" s="17"/>
      <c r="S43" s="4">
        <f t="shared" si="0"/>
        <v>5</v>
      </c>
      <c r="T43" s="54">
        <f t="shared" si="1"/>
        <v>33</v>
      </c>
      <c r="U43" s="55" t="str">
        <f t="shared" si="2"/>
        <v>NE</v>
      </c>
    </row>
    <row r="44" spans="1:22" ht="17.850000000000001" customHeight="1">
      <c r="A44" s="44">
        <v>32</v>
      </c>
      <c r="B44" s="58" t="s">
        <v>54</v>
      </c>
      <c r="C44" s="66" t="s">
        <v>55</v>
      </c>
      <c r="D44" s="40" t="s">
        <v>14</v>
      </c>
      <c r="E44" s="40" t="s">
        <v>14</v>
      </c>
      <c r="F44" s="40" t="s">
        <v>14</v>
      </c>
      <c r="G44" s="17" t="s">
        <v>14</v>
      </c>
      <c r="H44" s="17" t="s">
        <v>14</v>
      </c>
      <c r="I44" s="41"/>
      <c r="J44" s="67"/>
      <c r="K44" s="67"/>
      <c r="L44" s="41"/>
      <c r="M44" s="41"/>
      <c r="N44" s="17"/>
      <c r="O44" s="17"/>
      <c r="P44" s="17"/>
      <c r="Q44" s="17"/>
      <c r="R44" s="17"/>
      <c r="S44" s="4">
        <f t="shared" si="0"/>
        <v>5</v>
      </c>
      <c r="T44" s="54">
        <f t="shared" si="1"/>
        <v>33</v>
      </c>
      <c r="U44" s="55" t="str">
        <f t="shared" si="2"/>
        <v>NE</v>
      </c>
    </row>
    <row r="45" spans="1:22" ht="17.850000000000001" customHeight="1">
      <c r="A45" s="44">
        <v>33</v>
      </c>
      <c r="B45" s="58" t="s">
        <v>56</v>
      </c>
      <c r="C45" s="66" t="s">
        <v>57</v>
      </c>
      <c r="D45" s="40" t="s">
        <v>14</v>
      </c>
      <c r="E45" s="40" t="s">
        <v>14</v>
      </c>
      <c r="F45" s="40" t="s">
        <v>14</v>
      </c>
      <c r="G45" s="17" t="s">
        <v>14</v>
      </c>
      <c r="H45" s="17" t="s">
        <v>14</v>
      </c>
      <c r="I45" s="41"/>
      <c r="J45" s="67"/>
      <c r="K45" s="67"/>
      <c r="L45" s="41"/>
      <c r="M45" s="41"/>
      <c r="N45" s="17"/>
      <c r="O45" s="17"/>
      <c r="P45" s="17"/>
      <c r="Q45" s="17"/>
      <c r="R45" s="17"/>
      <c r="S45" s="4">
        <f t="shared" ref="S45:S76" si="3">COUNTIF(D45:R45,"P")</f>
        <v>5</v>
      </c>
      <c r="T45" s="54">
        <f t="shared" si="1"/>
        <v>33</v>
      </c>
      <c r="U45" s="55" t="str">
        <f t="shared" si="2"/>
        <v>NE</v>
      </c>
    </row>
    <row r="46" spans="1:22" ht="17.850000000000001" customHeight="1">
      <c r="A46" s="44">
        <v>34</v>
      </c>
      <c r="B46" s="58" t="s">
        <v>64</v>
      </c>
      <c r="C46" s="66" t="s">
        <v>65</v>
      </c>
      <c r="D46" s="40" t="s">
        <v>14</v>
      </c>
      <c r="E46" s="40" t="s">
        <v>14</v>
      </c>
      <c r="F46" s="40" t="s">
        <v>14</v>
      </c>
      <c r="G46" s="17" t="s">
        <v>14</v>
      </c>
      <c r="H46" s="17" t="s">
        <v>14</v>
      </c>
      <c r="I46" s="41"/>
      <c r="J46" s="67"/>
      <c r="K46" s="67"/>
      <c r="L46" s="41"/>
      <c r="M46" s="41"/>
      <c r="N46" s="17"/>
      <c r="O46" s="17"/>
      <c r="P46" s="17"/>
      <c r="Q46" s="17"/>
      <c r="R46" s="17"/>
      <c r="S46" s="4">
        <f t="shared" si="3"/>
        <v>5</v>
      </c>
      <c r="T46" s="54">
        <f t="shared" si="1"/>
        <v>33</v>
      </c>
      <c r="U46" s="55" t="str">
        <f t="shared" si="2"/>
        <v>NE</v>
      </c>
    </row>
    <row r="47" spans="1:22" ht="17.850000000000001" customHeight="1">
      <c r="A47" s="44">
        <v>35</v>
      </c>
      <c r="B47" s="58" t="s">
        <v>66</v>
      </c>
      <c r="C47" s="66" t="s">
        <v>67</v>
      </c>
      <c r="D47" s="40" t="s">
        <v>14</v>
      </c>
      <c r="E47" s="40" t="s">
        <v>14</v>
      </c>
      <c r="F47" s="40" t="s">
        <v>14</v>
      </c>
      <c r="G47" s="17" t="s">
        <v>14</v>
      </c>
      <c r="H47" s="17" t="s">
        <v>14</v>
      </c>
      <c r="I47" s="41"/>
      <c r="J47" s="67"/>
      <c r="K47" s="67"/>
      <c r="L47" s="41"/>
      <c r="M47" s="41"/>
      <c r="N47" s="17"/>
      <c r="O47" s="17"/>
      <c r="P47" s="17"/>
      <c r="Q47" s="17"/>
      <c r="R47" s="17"/>
      <c r="S47" s="4">
        <f t="shared" si="3"/>
        <v>5</v>
      </c>
      <c r="T47" s="54">
        <f t="shared" si="1"/>
        <v>33</v>
      </c>
      <c r="U47" s="55" t="str">
        <f t="shared" si="2"/>
        <v>NE</v>
      </c>
    </row>
    <row r="48" spans="1:22" ht="17.850000000000001" customHeight="1">
      <c r="A48" s="44">
        <v>36</v>
      </c>
      <c r="B48" s="58" t="s">
        <v>76</v>
      </c>
      <c r="C48" s="66" t="s">
        <v>77</v>
      </c>
      <c r="D48" s="40" t="s">
        <v>14</v>
      </c>
      <c r="E48" s="40" t="s">
        <v>14</v>
      </c>
      <c r="F48" s="40" t="s">
        <v>14</v>
      </c>
      <c r="G48" s="17" t="s">
        <v>14</v>
      </c>
      <c r="H48" s="17" t="s">
        <v>14</v>
      </c>
      <c r="I48" s="41"/>
      <c r="J48" s="67"/>
      <c r="K48" s="67"/>
      <c r="L48" s="41"/>
      <c r="M48" s="41"/>
      <c r="N48" s="17"/>
      <c r="O48" s="17"/>
      <c r="P48" s="17"/>
      <c r="Q48" s="17"/>
      <c r="R48" s="17"/>
      <c r="S48" s="4">
        <f t="shared" si="3"/>
        <v>5</v>
      </c>
      <c r="T48" s="54">
        <f t="shared" si="1"/>
        <v>33</v>
      </c>
      <c r="U48" s="55" t="str">
        <f t="shared" si="2"/>
        <v>NE</v>
      </c>
    </row>
    <row r="49" spans="1:28" ht="17.850000000000001" customHeight="1">
      <c r="A49" s="44">
        <v>37</v>
      </c>
      <c r="B49" s="58" t="s">
        <v>78</v>
      </c>
      <c r="C49" s="66" t="s">
        <v>79</v>
      </c>
      <c r="D49" s="40" t="s">
        <v>14</v>
      </c>
      <c r="E49" s="40" t="s">
        <v>14</v>
      </c>
      <c r="F49" s="40" t="s">
        <v>14</v>
      </c>
      <c r="G49" s="17" t="s">
        <v>14</v>
      </c>
      <c r="H49" s="17" t="s">
        <v>14</v>
      </c>
      <c r="I49" s="41"/>
      <c r="J49" s="67"/>
      <c r="K49" s="67"/>
      <c r="L49" s="41"/>
      <c r="M49" s="41"/>
      <c r="N49" s="17"/>
      <c r="O49" s="17"/>
      <c r="P49" s="17"/>
      <c r="Q49" s="17"/>
      <c r="R49" s="17"/>
      <c r="S49" s="4">
        <f t="shared" si="3"/>
        <v>5</v>
      </c>
      <c r="T49" s="54">
        <f t="shared" si="1"/>
        <v>33</v>
      </c>
      <c r="U49" s="55" t="str">
        <f t="shared" si="2"/>
        <v>NE</v>
      </c>
    </row>
    <row r="50" spans="1:28" ht="17.850000000000001" customHeight="1">
      <c r="A50" s="44">
        <v>38</v>
      </c>
      <c r="B50" s="58" t="s">
        <v>80</v>
      </c>
      <c r="C50" s="66" t="s">
        <v>81</v>
      </c>
      <c r="D50" s="40" t="s">
        <v>14</v>
      </c>
      <c r="E50" s="40" t="s">
        <v>14</v>
      </c>
      <c r="F50" s="40" t="s">
        <v>14</v>
      </c>
      <c r="G50" s="17" t="s">
        <v>14</v>
      </c>
      <c r="H50" s="17" t="s">
        <v>14</v>
      </c>
      <c r="I50" s="41"/>
      <c r="J50" s="67"/>
      <c r="K50" s="67"/>
      <c r="L50" s="41"/>
      <c r="M50" s="41"/>
      <c r="N50" s="17"/>
      <c r="O50" s="17"/>
      <c r="P50" s="17"/>
      <c r="Q50" s="17"/>
      <c r="R50" s="17"/>
      <c r="S50" s="4">
        <f t="shared" si="3"/>
        <v>5</v>
      </c>
      <c r="T50" s="54">
        <f t="shared" si="1"/>
        <v>33</v>
      </c>
      <c r="U50" s="55" t="str">
        <f t="shared" si="2"/>
        <v>NE</v>
      </c>
    </row>
    <row r="51" spans="1:28" ht="17.850000000000001" customHeight="1">
      <c r="A51" s="44">
        <v>39</v>
      </c>
      <c r="B51" s="58" t="s">
        <v>84</v>
      </c>
      <c r="C51" s="66" t="s">
        <v>85</v>
      </c>
      <c r="D51" s="40" t="s">
        <v>14</v>
      </c>
      <c r="E51" s="40" t="s">
        <v>14</v>
      </c>
      <c r="F51" s="40" t="s">
        <v>14</v>
      </c>
      <c r="G51" s="17" t="s">
        <v>14</v>
      </c>
      <c r="H51" s="17" t="s">
        <v>14</v>
      </c>
      <c r="I51" s="41"/>
      <c r="J51" s="67"/>
      <c r="K51" s="67"/>
      <c r="L51" s="41"/>
      <c r="M51" s="41"/>
      <c r="N51" s="17"/>
      <c r="O51" s="17"/>
      <c r="P51" s="17"/>
      <c r="Q51" s="17"/>
      <c r="R51" s="17"/>
      <c r="S51" s="4">
        <f t="shared" si="3"/>
        <v>5</v>
      </c>
      <c r="T51" s="54">
        <f t="shared" si="1"/>
        <v>33</v>
      </c>
      <c r="U51" s="55" t="str">
        <f t="shared" si="2"/>
        <v>NE</v>
      </c>
    </row>
    <row r="52" spans="1:28" ht="17.850000000000001" customHeight="1">
      <c r="A52" s="44">
        <v>40</v>
      </c>
      <c r="B52" s="58" t="s">
        <v>86</v>
      </c>
      <c r="C52" s="66" t="s">
        <v>87</v>
      </c>
      <c r="D52" s="40" t="s">
        <v>14</v>
      </c>
      <c r="E52" s="40" t="s">
        <v>14</v>
      </c>
      <c r="F52" s="40" t="s">
        <v>14</v>
      </c>
      <c r="G52" s="17" t="s">
        <v>14</v>
      </c>
      <c r="H52" s="17" t="s">
        <v>14</v>
      </c>
      <c r="I52" s="41"/>
      <c r="J52" s="67"/>
      <c r="K52" s="67"/>
      <c r="L52" s="41"/>
      <c r="M52" s="41"/>
      <c r="N52" s="17"/>
      <c r="O52" s="17"/>
      <c r="P52" s="17"/>
      <c r="Q52" s="17"/>
      <c r="R52" s="17"/>
      <c r="S52" s="4">
        <f t="shared" si="3"/>
        <v>5</v>
      </c>
      <c r="T52" s="54">
        <f t="shared" si="1"/>
        <v>33</v>
      </c>
      <c r="U52" s="55" t="str">
        <f t="shared" si="2"/>
        <v>NE</v>
      </c>
    </row>
    <row r="53" spans="1:28" ht="17.850000000000001" customHeight="1">
      <c r="A53" s="44">
        <v>41</v>
      </c>
      <c r="B53" s="58" t="s">
        <v>88</v>
      </c>
      <c r="C53" s="66" t="s">
        <v>89</v>
      </c>
      <c r="D53" s="40" t="s">
        <v>14</v>
      </c>
      <c r="E53" s="40" t="s">
        <v>14</v>
      </c>
      <c r="F53" s="40" t="s">
        <v>14</v>
      </c>
      <c r="G53" s="17" t="s">
        <v>14</v>
      </c>
      <c r="H53" s="17" t="s">
        <v>14</v>
      </c>
      <c r="I53" s="41"/>
      <c r="J53" s="67"/>
      <c r="K53" s="67"/>
      <c r="L53" s="41"/>
      <c r="M53" s="41"/>
      <c r="N53" s="17"/>
      <c r="O53" s="17"/>
      <c r="P53" s="17"/>
      <c r="Q53" s="17"/>
      <c r="R53" s="17"/>
      <c r="S53" s="4">
        <f t="shared" si="3"/>
        <v>5</v>
      </c>
      <c r="T53" s="54">
        <f t="shared" si="1"/>
        <v>33</v>
      </c>
      <c r="U53" s="55" t="str">
        <f t="shared" si="2"/>
        <v>NE</v>
      </c>
    </row>
    <row r="54" spans="1:28" ht="17.850000000000001" customHeight="1">
      <c r="A54" s="44">
        <v>42</v>
      </c>
      <c r="B54" s="58" t="s">
        <v>92</v>
      </c>
      <c r="C54" s="66" t="s">
        <v>93</v>
      </c>
      <c r="D54" s="40" t="s">
        <v>14</v>
      </c>
      <c r="E54" s="40" t="s">
        <v>14</v>
      </c>
      <c r="F54" s="40" t="s">
        <v>14</v>
      </c>
      <c r="G54" s="17" t="s">
        <v>14</v>
      </c>
      <c r="H54" s="17" t="s">
        <v>14</v>
      </c>
      <c r="I54" s="41"/>
      <c r="J54" s="67"/>
      <c r="K54" s="67"/>
      <c r="L54" s="41"/>
      <c r="M54" s="41"/>
      <c r="N54" s="17"/>
      <c r="O54" s="17"/>
      <c r="P54" s="17"/>
      <c r="Q54" s="17"/>
      <c r="R54" s="17"/>
      <c r="S54" s="4">
        <f t="shared" si="3"/>
        <v>5</v>
      </c>
      <c r="T54" s="54">
        <f t="shared" si="1"/>
        <v>33</v>
      </c>
      <c r="U54" s="55" t="str">
        <f t="shared" si="2"/>
        <v>NE</v>
      </c>
    </row>
    <row r="55" spans="1:28" ht="17.850000000000001" customHeight="1">
      <c r="A55" s="44">
        <v>43</v>
      </c>
      <c r="B55" s="68" t="s">
        <v>94</v>
      </c>
      <c r="C55" s="70" t="s">
        <v>95</v>
      </c>
      <c r="D55" s="40" t="s">
        <v>14</v>
      </c>
      <c r="E55" s="40" t="s">
        <v>14</v>
      </c>
      <c r="F55" s="40" t="s">
        <v>14</v>
      </c>
      <c r="G55" s="17" t="s">
        <v>14</v>
      </c>
      <c r="H55" s="17" t="s">
        <v>14</v>
      </c>
      <c r="I55" s="41"/>
      <c r="J55" s="67"/>
      <c r="K55" s="67"/>
      <c r="L55" s="41"/>
      <c r="M55" s="41"/>
      <c r="N55" s="17"/>
      <c r="O55" s="17"/>
      <c r="P55" s="17"/>
      <c r="Q55" s="17"/>
      <c r="R55" s="17"/>
      <c r="S55" s="4">
        <f t="shared" si="3"/>
        <v>5</v>
      </c>
      <c r="T55" s="54">
        <f t="shared" si="1"/>
        <v>33</v>
      </c>
      <c r="U55" s="55" t="str">
        <f t="shared" si="2"/>
        <v>NE</v>
      </c>
    </row>
    <row r="56" spans="1:28" ht="17.850000000000001" customHeight="1">
      <c r="A56" s="44">
        <v>44</v>
      </c>
      <c r="B56" s="58" t="s">
        <v>96</v>
      </c>
      <c r="C56" s="66" t="s">
        <v>97</v>
      </c>
      <c r="D56" s="40" t="s">
        <v>14</v>
      </c>
      <c r="E56" s="40" t="s">
        <v>14</v>
      </c>
      <c r="F56" s="40" t="s">
        <v>14</v>
      </c>
      <c r="G56" s="17" t="s">
        <v>14</v>
      </c>
      <c r="H56" s="17" t="s">
        <v>14</v>
      </c>
      <c r="I56" s="41"/>
      <c r="J56" s="67"/>
      <c r="K56" s="67"/>
      <c r="L56" s="41"/>
      <c r="M56" s="41"/>
      <c r="N56" s="17"/>
      <c r="O56" s="17"/>
      <c r="P56" s="17"/>
      <c r="Q56" s="17"/>
      <c r="R56" s="17"/>
      <c r="S56" s="4">
        <f t="shared" si="3"/>
        <v>5</v>
      </c>
      <c r="T56" s="54">
        <f t="shared" si="1"/>
        <v>33</v>
      </c>
      <c r="U56" s="55" t="str">
        <f t="shared" si="2"/>
        <v>NE</v>
      </c>
    </row>
    <row r="57" spans="1:28" ht="17.850000000000001" customHeight="1">
      <c r="A57" s="44">
        <v>45</v>
      </c>
      <c r="B57" s="58" t="s">
        <v>98</v>
      </c>
      <c r="C57" s="66" t="s">
        <v>99</v>
      </c>
      <c r="D57" s="40" t="s">
        <v>14</v>
      </c>
      <c r="E57" s="40" t="s">
        <v>14</v>
      </c>
      <c r="F57" s="40" t="s">
        <v>14</v>
      </c>
      <c r="G57" s="17" t="s">
        <v>14</v>
      </c>
      <c r="H57" s="17" t="s">
        <v>14</v>
      </c>
      <c r="I57" s="41"/>
      <c r="J57" s="67"/>
      <c r="K57" s="67"/>
      <c r="L57" s="41"/>
      <c r="M57" s="41"/>
      <c r="N57" s="17"/>
      <c r="O57" s="17"/>
      <c r="P57" s="17"/>
      <c r="Q57" s="17"/>
      <c r="R57" s="17"/>
      <c r="S57" s="4">
        <f t="shared" si="3"/>
        <v>5</v>
      </c>
      <c r="T57" s="54">
        <f t="shared" si="1"/>
        <v>33</v>
      </c>
      <c r="U57" s="55" t="str">
        <f t="shared" si="2"/>
        <v>NE</v>
      </c>
    </row>
    <row r="58" spans="1:28" ht="17.850000000000001" customHeight="1">
      <c r="A58" s="44">
        <v>46</v>
      </c>
      <c r="B58" s="58" t="s">
        <v>102</v>
      </c>
      <c r="C58" s="66" t="s">
        <v>103</v>
      </c>
      <c r="D58" s="40" t="s">
        <v>14</v>
      </c>
      <c r="E58" s="40" t="s">
        <v>14</v>
      </c>
      <c r="F58" s="40" t="s">
        <v>14</v>
      </c>
      <c r="G58" s="17" t="s">
        <v>14</v>
      </c>
      <c r="H58" s="17" t="s">
        <v>14</v>
      </c>
      <c r="I58" s="41"/>
      <c r="J58" s="67"/>
      <c r="K58" s="67"/>
      <c r="L58" s="41"/>
      <c r="M58" s="41"/>
      <c r="N58" s="17"/>
      <c r="O58" s="17"/>
      <c r="P58" s="17"/>
      <c r="Q58" s="17"/>
      <c r="R58" s="17"/>
      <c r="S58" s="4">
        <f t="shared" si="3"/>
        <v>5</v>
      </c>
      <c r="T58" s="54">
        <f t="shared" si="1"/>
        <v>33</v>
      </c>
      <c r="U58" s="55" t="str">
        <f t="shared" si="2"/>
        <v>NE</v>
      </c>
    </row>
    <row r="59" spans="1:28" ht="17.850000000000001" customHeight="1">
      <c r="A59" s="44">
        <v>47</v>
      </c>
      <c r="B59" s="58" t="s">
        <v>104</v>
      </c>
      <c r="C59" s="66" t="s">
        <v>105</v>
      </c>
      <c r="D59" s="40" t="s">
        <v>14</v>
      </c>
      <c r="E59" s="40" t="s">
        <v>14</v>
      </c>
      <c r="F59" s="40" t="s">
        <v>14</v>
      </c>
      <c r="G59" s="17" t="s">
        <v>14</v>
      </c>
      <c r="H59" s="17" t="s">
        <v>14</v>
      </c>
      <c r="I59" s="41"/>
      <c r="J59" s="67"/>
      <c r="K59" s="67"/>
      <c r="L59" s="41"/>
      <c r="M59" s="41"/>
      <c r="N59" s="17"/>
      <c r="O59" s="17"/>
      <c r="P59" s="17"/>
      <c r="Q59" s="17"/>
      <c r="R59" s="17"/>
      <c r="S59" s="4">
        <f t="shared" si="3"/>
        <v>5</v>
      </c>
      <c r="T59" s="54">
        <f t="shared" si="1"/>
        <v>33</v>
      </c>
      <c r="U59" s="55" t="str">
        <f t="shared" si="2"/>
        <v>NE</v>
      </c>
    </row>
    <row r="60" spans="1:28" ht="17.850000000000001" customHeight="1">
      <c r="A60" s="44">
        <v>48</v>
      </c>
      <c r="B60" s="69" t="s">
        <v>106</v>
      </c>
      <c r="C60" s="71" t="s">
        <v>107</v>
      </c>
      <c r="D60" s="40" t="s">
        <v>14</v>
      </c>
      <c r="E60" s="40" t="s">
        <v>14</v>
      </c>
      <c r="F60" s="40" t="s">
        <v>14</v>
      </c>
      <c r="G60" s="17" t="s">
        <v>14</v>
      </c>
      <c r="H60" s="17" t="s">
        <v>14</v>
      </c>
      <c r="I60" s="41"/>
      <c r="J60" s="67"/>
      <c r="K60" s="67"/>
      <c r="L60" s="41"/>
      <c r="M60" s="41"/>
      <c r="N60" s="17"/>
      <c r="O60" s="17"/>
      <c r="P60" s="17"/>
      <c r="Q60" s="17"/>
      <c r="R60" s="17"/>
      <c r="S60" s="4">
        <f t="shared" si="3"/>
        <v>5</v>
      </c>
      <c r="T60" s="54">
        <f t="shared" si="1"/>
        <v>33</v>
      </c>
      <c r="U60" s="55" t="str">
        <f t="shared" si="2"/>
        <v>NE</v>
      </c>
    </row>
    <row r="61" spans="1:28" ht="17.850000000000001" customHeight="1">
      <c r="A61" s="44">
        <v>49</v>
      </c>
      <c r="B61" s="58" t="s">
        <v>108</v>
      </c>
      <c r="C61" s="66" t="s">
        <v>109</v>
      </c>
      <c r="D61" s="40" t="s">
        <v>14</v>
      </c>
      <c r="E61" s="40" t="s">
        <v>14</v>
      </c>
      <c r="F61" s="40" t="s">
        <v>14</v>
      </c>
      <c r="G61" s="17" t="s">
        <v>14</v>
      </c>
      <c r="H61" s="17" t="s">
        <v>14</v>
      </c>
      <c r="I61" s="41"/>
      <c r="J61" s="67"/>
      <c r="K61" s="67"/>
      <c r="L61" s="41"/>
      <c r="M61" s="41"/>
      <c r="N61" s="17"/>
      <c r="O61" s="17"/>
      <c r="P61" s="17"/>
      <c r="Q61" s="17"/>
      <c r="R61" s="17"/>
      <c r="S61" s="4">
        <f t="shared" si="3"/>
        <v>5</v>
      </c>
      <c r="T61" s="54">
        <f t="shared" si="1"/>
        <v>33</v>
      </c>
      <c r="U61" s="55" t="str">
        <f t="shared" si="2"/>
        <v>NE</v>
      </c>
    </row>
    <row r="62" spans="1:28" ht="17.850000000000001" customHeight="1">
      <c r="A62" s="44">
        <v>50</v>
      </c>
      <c r="B62" s="58" t="s">
        <v>110</v>
      </c>
      <c r="C62" s="66" t="s">
        <v>111</v>
      </c>
      <c r="D62" s="40" t="s">
        <v>14</v>
      </c>
      <c r="E62" s="40" t="s">
        <v>14</v>
      </c>
      <c r="F62" s="40" t="s">
        <v>14</v>
      </c>
      <c r="G62" s="17" t="s">
        <v>14</v>
      </c>
      <c r="H62" s="17" t="s">
        <v>14</v>
      </c>
      <c r="I62" s="41"/>
      <c r="J62" s="67"/>
      <c r="K62" s="67"/>
      <c r="L62" s="41"/>
      <c r="M62" s="41"/>
      <c r="N62" s="17"/>
      <c r="O62" s="17"/>
      <c r="P62" s="17"/>
      <c r="Q62" s="17"/>
      <c r="R62" s="17"/>
      <c r="S62" s="4">
        <f t="shared" si="3"/>
        <v>5</v>
      </c>
      <c r="T62" s="54">
        <f t="shared" si="1"/>
        <v>33</v>
      </c>
      <c r="U62" s="55" t="str">
        <f t="shared" si="2"/>
        <v>NE</v>
      </c>
      <c r="W62" s="58" t="s">
        <v>132</v>
      </c>
      <c r="X62" s="66" t="s">
        <v>133</v>
      </c>
      <c r="AB62" t="s">
        <v>194</v>
      </c>
    </row>
    <row r="63" spans="1:28" ht="17.850000000000001" customHeight="1">
      <c r="A63" s="44">
        <v>51</v>
      </c>
      <c r="B63" s="58" t="s">
        <v>112</v>
      </c>
      <c r="C63" s="66" t="s">
        <v>113</v>
      </c>
      <c r="D63" s="40" t="s">
        <v>14</v>
      </c>
      <c r="E63" s="40" t="s">
        <v>14</v>
      </c>
      <c r="F63" s="40" t="s">
        <v>14</v>
      </c>
      <c r="G63" s="17" t="s">
        <v>14</v>
      </c>
      <c r="H63" s="17" t="s">
        <v>14</v>
      </c>
      <c r="I63" s="41"/>
      <c r="J63" s="67"/>
      <c r="K63" s="67"/>
      <c r="L63" s="41"/>
      <c r="M63" s="41"/>
      <c r="N63" s="17"/>
      <c r="O63" s="17"/>
      <c r="P63" s="17"/>
      <c r="Q63" s="17"/>
      <c r="R63" s="17"/>
      <c r="S63" s="4">
        <f t="shared" si="3"/>
        <v>5</v>
      </c>
      <c r="T63" s="54">
        <f t="shared" si="1"/>
        <v>33</v>
      </c>
      <c r="U63" s="55" t="str">
        <f t="shared" si="2"/>
        <v>NE</v>
      </c>
    </row>
    <row r="64" spans="1:28" ht="17.850000000000001" customHeight="1">
      <c r="A64" s="44">
        <v>52</v>
      </c>
      <c r="B64" s="58" t="s">
        <v>116</v>
      </c>
      <c r="C64" s="66" t="s">
        <v>117</v>
      </c>
      <c r="D64" s="40" t="s">
        <v>14</v>
      </c>
      <c r="E64" s="40" t="s">
        <v>14</v>
      </c>
      <c r="F64" s="40" t="s">
        <v>14</v>
      </c>
      <c r="G64" s="17" t="s">
        <v>14</v>
      </c>
      <c r="H64" s="17" t="s">
        <v>14</v>
      </c>
      <c r="I64" s="41"/>
      <c r="J64" s="67"/>
      <c r="K64" s="67"/>
      <c r="L64" s="41"/>
      <c r="M64" s="41"/>
      <c r="N64" s="17"/>
      <c r="O64" s="17"/>
      <c r="P64" s="17"/>
      <c r="Q64" s="17"/>
      <c r="R64" s="17"/>
      <c r="S64" s="4">
        <f t="shared" si="3"/>
        <v>5</v>
      </c>
      <c r="T64" s="54">
        <f t="shared" si="1"/>
        <v>33</v>
      </c>
      <c r="U64" s="55" t="str">
        <f t="shared" si="2"/>
        <v>NE</v>
      </c>
    </row>
    <row r="65" spans="1:21" ht="17.850000000000001" customHeight="1">
      <c r="A65" s="44">
        <v>53</v>
      </c>
      <c r="B65" s="58" t="s">
        <v>120</v>
      </c>
      <c r="C65" s="66" t="s">
        <v>121</v>
      </c>
      <c r="D65" s="40" t="s">
        <v>14</v>
      </c>
      <c r="E65" s="40" t="s">
        <v>14</v>
      </c>
      <c r="F65" s="40" t="s">
        <v>14</v>
      </c>
      <c r="G65" s="17" t="s">
        <v>14</v>
      </c>
      <c r="H65" s="17" t="s">
        <v>14</v>
      </c>
      <c r="I65" s="41"/>
      <c r="J65" s="67"/>
      <c r="K65" s="67"/>
      <c r="L65" s="41"/>
      <c r="M65" s="41"/>
      <c r="N65" s="17"/>
      <c r="O65" s="17"/>
      <c r="P65" s="17"/>
      <c r="Q65" s="17"/>
      <c r="R65" s="17"/>
      <c r="S65" s="4">
        <f t="shared" si="3"/>
        <v>5</v>
      </c>
      <c r="T65" s="54">
        <f t="shared" si="1"/>
        <v>33</v>
      </c>
      <c r="U65" s="55" t="str">
        <f t="shared" si="2"/>
        <v>NE</v>
      </c>
    </row>
    <row r="66" spans="1:21" ht="17.850000000000001" customHeight="1">
      <c r="A66" s="44">
        <v>54</v>
      </c>
      <c r="B66" s="58" t="s">
        <v>126</v>
      </c>
      <c r="C66" s="66" t="s">
        <v>127</v>
      </c>
      <c r="D66" s="40" t="s">
        <v>14</v>
      </c>
      <c r="E66" s="40" t="s">
        <v>14</v>
      </c>
      <c r="F66" s="40" t="s">
        <v>14</v>
      </c>
      <c r="G66" s="17" t="s">
        <v>14</v>
      </c>
      <c r="H66" s="17" t="s">
        <v>14</v>
      </c>
      <c r="I66" s="41"/>
      <c r="J66" s="67"/>
      <c r="K66" s="67"/>
      <c r="L66" s="41"/>
      <c r="M66" s="41"/>
      <c r="N66" s="17"/>
      <c r="O66" s="17"/>
      <c r="P66" s="17"/>
      <c r="Q66" s="17"/>
      <c r="R66" s="17"/>
      <c r="S66" s="4">
        <f t="shared" si="3"/>
        <v>5</v>
      </c>
      <c r="T66" s="54">
        <f t="shared" si="1"/>
        <v>33</v>
      </c>
      <c r="U66" s="55" t="str">
        <f t="shared" si="2"/>
        <v>NE</v>
      </c>
    </row>
    <row r="67" spans="1:21" ht="17.850000000000001" customHeight="1">
      <c r="A67" s="44">
        <v>55</v>
      </c>
      <c r="B67" s="58" t="s">
        <v>130</v>
      </c>
      <c r="C67" s="66" t="s">
        <v>131</v>
      </c>
      <c r="D67" s="40" t="s">
        <v>14</v>
      </c>
      <c r="E67" s="40" t="s">
        <v>14</v>
      </c>
      <c r="F67" s="40" t="s">
        <v>14</v>
      </c>
      <c r="G67" s="17" t="s">
        <v>14</v>
      </c>
      <c r="H67" s="17" t="s">
        <v>14</v>
      </c>
      <c r="I67" s="41"/>
      <c r="J67" s="67"/>
      <c r="K67" s="67"/>
      <c r="L67" s="41"/>
      <c r="M67" s="41"/>
      <c r="N67" s="17"/>
      <c r="O67" s="17"/>
      <c r="P67" s="17"/>
      <c r="Q67" s="17"/>
      <c r="R67" s="17"/>
      <c r="S67" s="4">
        <f t="shared" si="3"/>
        <v>5</v>
      </c>
      <c r="T67" s="54">
        <f t="shared" si="1"/>
        <v>33</v>
      </c>
      <c r="U67" s="55" t="str">
        <f t="shared" si="2"/>
        <v>NE</v>
      </c>
    </row>
    <row r="68" spans="1:21" ht="17.850000000000001" customHeight="1">
      <c r="A68" s="44">
        <v>56</v>
      </c>
      <c r="B68" s="58" t="s">
        <v>134</v>
      </c>
      <c r="C68" s="66" t="s">
        <v>135</v>
      </c>
      <c r="D68" s="40" t="s">
        <v>14</v>
      </c>
      <c r="E68" s="40" t="s">
        <v>14</v>
      </c>
      <c r="F68" s="40" t="s">
        <v>14</v>
      </c>
      <c r="G68" s="17" t="s">
        <v>14</v>
      </c>
      <c r="H68" s="17" t="s">
        <v>14</v>
      </c>
      <c r="I68" s="41"/>
      <c r="J68" s="67"/>
      <c r="K68" s="67"/>
      <c r="L68" s="41"/>
      <c r="M68" s="41"/>
      <c r="N68" s="40"/>
      <c r="O68" s="40"/>
      <c r="P68" s="40"/>
      <c r="Q68" s="40"/>
      <c r="R68" s="40"/>
      <c r="S68" s="4">
        <f t="shared" si="3"/>
        <v>5</v>
      </c>
      <c r="T68" s="54">
        <f t="shared" si="1"/>
        <v>33</v>
      </c>
      <c r="U68" s="55" t="str">
        <f t="shared" si="2"/>
        <v>NE</v>
      </c>
    </row>
    <row r="69" spans="1:21" ht="17.850000000000001" customHeight="1">
      <c r="A69" s="44">
        <v>57</v>
      </c>
      <c r="B69" s="93" t="s">
        <v>136</v>
      </c>
      <c r="C69" s="104" t="s">
        <v>137</v>
      </c>
      <c r="D69" s="40" t="s">
        <v>14</v>
      </c>
      <c r="E69" s="40" t="s">
        <v>14</v>
      </c>
      <c r="F69" s="40" t="s">
        <v>14</v>
      </c>
      <c r="G69" s="17" t="s">
        <v>14</v>
      </c>
      <c r="H69" s="17" t="s">
        <v>14</v>
      </c>
      <c r="I69" s="41"/>
      <c r="J69" s="67"/>
      <c r="K69" s="67"/>
      <c r="L69" s="41"/>
      <c r="M69" s="41"/>
      <c r="N69" s="17"/>
      <c r="O69" s="17"/>
      <c r="P69" s="17"/>
      <c r="Q69" s="17"/>
      <c r="R69" s="17"/>
      <c r="S69" s="4">
        <f t="shared" si="3"/>
        <v>5</v>
      </c>
      <c r="T69" s="54">
        <f t="shared" si="1"/>
        <v>33</v>
      </c>
      <c r="U69" s="55" t="str">
        <f t="shared" si="2"/>
        <v>NE</v>
      </c>
    </row>
    <row r="70" spans="1:21" ht="17.850000000000001" customHeight="1">
      <c r="A70" s="44">
        <v>58</v>
      </c>
      <c r="B70" s="100" t="s">
        <v>138</v>
      </c>
      <c r="C70" s="103" t="s">
        <v>139</v>
      </c>
      <c r="D70" s="40" t="s">
        <v>14</v>
      </c>
      <c r="E70" s="40" t="s">
        <v>14</v>
      </c>
      <c r="F70" s="40" t="s">
        <v>14</v>
      </c>
      <c r="G70" s="17" t="s">
        <v>14</v>
      </c>
      <c r="H70" s="17" t="s">
        <v>14</v>
      </c>
      <c r="I70" s="41"/>
      <c r="J70" s="67"/>
      <c r="K70" s="67"/>
      <c r="L70" s="41"/>
      <c r="M70" s="41"/>
      <c r="N70" s="40"/>
      <c r="O70" s="40"/>
      <c r="P70" s="40"/>
      <c r="Q70" s="40"/>
      <c r="R70" s="40"/>
      <c r="S70" s="4">
        <f t="shared" si="3"/>
        <v>5</v>
      </c>
      <c r="T70" s="54">
        <f t="shared" si="1"/>
        <v>33</v>
      </c>
      <c r="U70" s="55" t="str">
        <f t="shared" si="2"/>
        <v>NE</v>
      </c>
    </row>
    <row r="71" spans="1:21" ht="17.850000000000001" customHeight="1">
      <c r="A71" s="44">
        <v>59</v>
      </c>
      <c r="B71" s="100" t="s">
        <v>140</v>
      </c>
      <c r="C71" s="103" t="s">
        <v>141</v>
      </c>
      <c r="D71" s="40" t="s">
        <v>14</v>
      </c>
      <c r="E71" s="40" t="s">
        <v>14</v>
      </c>
      <c r="F71" s="40" t="s">
        <v>14</v>
      </c>
      <c r="G71" s="17" t="s">
        <v>14</v>
      </c>
      <c r="H71" s="17" t="s">
        <v>14</v>
      </c>
      <c r="I71" s="41"/>
      <c r="J71" s="67"/>
      <c r="K71" s="67"/>
      <c r="L71" s="41"/>
      <c r="M71" s="41"/>
      <c r="N71" s="40"/>
      <c r="O71" s="40"/>
      <c r="P71" s="40"/>
      <c r="Q71" s="40"/>
      <c r="R71" s="40"/>
      <c r="S71" s="4">
        <f t="shared" si="3"/>
        <v>5</v>
      </c>
      <c r="T71" s="54">
        <f t="shared" si="1"/>
        <v>33</v>
      </c>
      <c r="U71" s="55" t="str">
        <f t="shared" si="2"/>
        <v>NE</v>
      </c>
    </row>
    <row r="72" spans="1:21" ht="17.850000000000001" customHeight="1">
      <c r="A72" s="44">
        <v>60</v>
      </c>
      <c r="B72" s="100" t="s">
        <v>142</v>
      </c>
      <c r="C72" s="102" t="s">
        <v>143</v>
      </c>
      <c r="D72" s="40" t="s">
        <v>14</v>
      </c>
      <c r="E72" s="40" t="s">
        <v>14</v>
      </c>
      <c r="F72" s="40" t="s">
        <v>14</v>
      </c>
      <c r="G72" s="17" t="s">
        <v>14</v>
      </c>
      <c r="H72" s="17" t="s">
        <v>14</v>
      </c>
      <c r="I72" s="41"/>
      <c r="J72" s="67"/>
      <c r="K72" s="67"/>
      <c r="L72" s="41"/>
      <c r="M72" s="41"/>
      <c r="N72" s="40"/>
      <c r="O72" s="40"/>
      <c r="P72" s="40"/>
      <c r="Q72" s="40"/>
      <c r="R72" s="40"/>
      <c r="S72" s="4">
        <f t="shared" si="3"/>
        <v>5</v>
      </c>
      <c r="T72" s="54">
        <f t="shared" si="1"/>
        <v>33</v>
      </c>
      <c r="U72" s="55" t="str">
        <f t="shared" si="2"/>
        <v>NE</v>
      </c>
    </row>
    <row r="73" spans="1:21" ht="17.850000000000001" customHeight="1">
      <c r="A73" s="44">
        <v>61</v>
      </c>
      <c r="B73" s="100" t="s">
        <v>144</v>
      </c>
      <c r="C73" s="102" t="s">
        <v>145</v>
      </c>
      <c r="D73" s="40" t="s">
        <v>14</v>
      </c>
      <c r="E73" s="40" t="s">
        <v>14</v>
      </c>
      <c r="F73" s="40" t="s">
        <v>14</v>
      </c>
      <c r="G73" s="17" t="s">
        <v>14</v>
      </c>
      <c r="H73" s="17" t="s">
        <v>14</v>
      </c>
      <c r="I73" s="41"/>
      <c r="J73" s="67"/>
      <c r="K73" s="67"/>
      <c r="L73" s="41"/>
      <c r="M73" s="41"/>
      <c r="N73" s="40"/>
      <c r="O73" s="40"/>
      <c r="P73" s="40"/>
      <c r="Q73" s="40"/>
      <c r="R73" s="40"/>
      <c r="S73" s="4">
        <f t="shared" si="3"/>
        <v>5</v>
      </c>
      <c r="T73" s="54">
        <f t="shared" si="1"/>
        <v>33</v>
      </c>
      <c r="U73" s="55" t="str">
        <f t="shared" si="2"/>
        <v>NE</v>
      </c>
    </row>
    <row r="74" spans="1:21" ht="17.850000000000001" customHeight="1">
      <c r="A74" s="44">
        <v>62</v>
      </c>
      <c r="B74" s="62" t="s">
        <v>146</v>
      </c>
      <c r="C74" s="61" t="s">
        <v>147</v>
      </c>
      <c r="D74" s="40" t="s">
        <v>14</v>
      </c>
      <c r="E74" s="40" t="s">
        <v>14</v>
      </c>
      <c r="F74" s="40" t="s">
        <v>14</v>
      </c>
      <c r="G74" s="17" t="s">
        <v>14</v>
      </c>
      <c r="H74" s="17" t="s">
        <v>14</v>
      </c>
      <c r="I74" s="41"/>
      <c r="J74" s="67"/>
      <c r="K74" s="67"/>
      <c r="L74" s="41"/>
      <c r="M74" s="41"/>
      <c r="N74" s="40"/>
      <c r="O74" s="40"/>
      <c r="P74" s="40"/>
      <c r="Q74" s="40"/>
      <c r="R74" s="40"/>
      <c r="S74" s="4">
        <f t="shared" si="3"/>
        <v>5</v>
      </c>
      <c r="T74" s="54">
        <f t="shared" si="1"/>
        <v>33</v>
      </c>
      <c r="U74" s="55" t="str">
        <f t="shared" si="2"/>
        <v>NE</v>
      </c>
    </row>
    <row r="75" spans="1:21" ht="17.850000000000001" customHeight="1">
      <c r="A75" s="44">
        <v>63</v>
      </c>
      <c r="B75" s="60" t="s">
        <v>148</v>
      </c>
      <c r="C75" s="61" t="s">
        <v>149</v>
      </c>
      <c r="D75" s="40" t="s">
        <v>14</v>
      </c>
      <c r="E75" s="40" t="s">
        <v>14</v>
      </c>
      <c r="F75" s="40" t="s">
        <v>14</v>
      </c>
      <c r="G75" s="17" t="s">
        <v>14</v>
      </c>
      <c r="H75" s="17" t="s">
        <v>14</v>
      </c>
      <c r="I75" s="41"/>
      <c r="J75" s="67"/>
      <c r="K75" s="67"/>
      <c r="L75" s="41"/>
      <c r="M75" s="41"/>
      <c r="N75" s="40"/>
      <c r="O75" s="40"/>
      <c r="P75" s="40"/>
      <c r="Q75" s="40"/>
      <c r="R75" s="40"/>
      <c r="S75" s="4">
        <f t="shared" si="3"/>
        <v>5</v>
      </c>
      <c r="T75" s="54">
        <f t="shared" si="1"/>
        <v>33</v>
      </c>
      <c r="U75" s="55" t="str">
        <f t="shared" si="2"/>
        <v>NE</v>
      </c>
    </row>
    <row r="76" spans="1:21" ht="17.850000000000001" customHeight="1">
      <c r="A76" s="44">
        <v>64</v>
      </c>
      <c r="B76" s="62" t="s">
        <v>150</v>
      </c>
      <c r="C76" s="63" t="s">
        <v>151</v>
      </c>
      <c r="D76" s="40" t="s">
        <v>14</v>
      </c>
      <c r="E76" s="40" t="s">
        <v>14</v>
      </c>
      <c r="F76" s="40" t="s">
        <v>14</v>
      </c>
      <c r="G76" s="17" t="s">
        <v>14</v>
      </c>
      <c r="H76" s="17" t="s">
        <v>14</v>
      </c>
      <c r="I76" s="41"/>
      <c r="J76" s="67"/>
      <c r="K76" s="67"/>
      <c r="L76" s="41"/>
      <c r="M76" s="41"/>
      <c r="N76" s="40"/>
      <c r="O76" s="40"/>
      <c r="P76" s="40"/>
      <c r="Q76" s="40"/>
      <c r="R76" s="40"/>
      <c r="S76" s="4">
        <f t="shared" si="3"/>
        <v>5</v>
      </c>
      <c r="T76" s="54">
        <f t="shared" si="1"/>
        <v>33</v>
      </c>
      <c r="U76" s="55" t="str">
        <f t="shared" si="2"/>
        <v>NE</v>
      </c>
    </row>
    <row r="77" spans="1:21" ht="17.850000000000001" customHeight="1">
      <c r="A77" s="44">
        <v>65</v>
      </c>
      <c r="B77" s="60" t="s">
        <v>196</v>
      </c>
      <c r="C77" s="63" t="s">
        <v>200</v>
      </c>
      <c r="D77" s="40" t="s">
        <v>14</v>
      </c>
      <c r="E77" s="40" t="s">
        <v>14</v>
      </c>
      <c r="F77" s="40" t="s">
        <v>14</v>
      </c>
      <c r="G77" s="17" t="s">
        <v>14</v>
      </c>
      <c r="H77" s="17" t="s">
        <v>14</v>
      </c>
      <c r="I77" s="41"/>
      <c r="J77" s="41"/>
      <c r="K77" s="41"/>
      <c r="L77" s="41"/>
      <c r="M77" s="41"/>
      <c r="N77" s="40"/>
      <c r="O77" s="40"/>
      <c r="P77" s="40"/>
      <c r="Q77" s="40"/>
      <c r="R77" s="40"/>
      <c r="S77" s="4">
        <f t="shared" ref="S77:S93" si="4">COUNTIF(D77:R77,"P")</f>
        <v>5</v>
      </c>
      <c r="T77" s="54">
        <f t="shared" si="1"/>
        <v>33</v>
      </c>
      <c r="U77" s="55" t="str">
        <f t="shared" si="2"/>
        <v>NE</v>
      </c>
    </row>
    <row r="78" spans="1:21" ht="17.850000000000001" customHeight="1">
      <c r="A78" s="44">
        <v>66</v>
      </c>
      <c r="B78" s="62" t="s">
        <v>154</v>
      </c>
      <c r="C78" s="63" t="s">
        <v>155</v>
      </c>
      <c r="D78" s="40" t="s">
        <v>14</v>
      </c>
      <c r="E78" s="40" t="s">
        <v>14</v>
      </c>
      <c r="F78" s="40" t="s">
        <v>14</v>
      </c>
      <c r="G78" s="17" t="s">
        <v>14</v>
      </c>
      <c r="H78" s="17" t="s">
        <v>14</v>
      </c>
      <c r="I78" s="41"/>
      <c r="J78" s="67"/>
      <c r="K78" s="67"/>
      <c r="L78" s="41"/>
      <c r="M78" s="41"/>
      <c r="N78" s="40"/>
      <c r="O78" s="40"/>
      <c r="P78" s="40"/>
      <c r="Q78" s="40"/>
      <c r="R78" s="40"/>
      <c r="S78" s="4">
        <f t="shared" si="4"/>
        <v>5</v>
      </c>
      <c r="T78" s="54">
        <f t="shared" ref="T78:T97" si="5">ROUND(SUM(S78/15*100),0)</f>
        <v>33</v>
      </c>
      <c r="U78" s="55" t="str">
        <f t="shared" ref="U78:U97" si="6">IF(T78&gt;=75,"EG",IF(T78&gt;=65,"CN","NE"))</f>
        <v>NE</v>
      </c>
    </row>
    <row r="79" spans="1:21" ht="17.850000000000001" customHeight="1">
      <c r="A79" s="44">
        <v>67</v>
      </c>
      <c r="B79" s="62" t="s">
        <v>156</v>
      </c>
      <c r="C79" s="61" t="s">
        <v>157</v>
      </c>
      <c r="D79" s="40" t="s">
        <v>14</v>
      </c>
      <c r="E79" s="40" t="s">
        <v>14</v>
      </c>
      <c r="F79" s="40" t="s">
        <v>14</v>
      </c>
      <c r="G79" s="17" t="s">
        <v>14</v>
      </c>
      <c r="H79" s="17" t="s">
        <v>14</v>
      </c>
      <c r="I79" s="41"/>
      <c r="J79" s="67"/>
      <c r="K79" s="67"/>
      <c r="L79" s="41"/>
      <c r="M79" s="41"/>
      <c r="N79" s="40"/>
      <c r="O79" s="40"/>
      <c r="P79" s="40"/>
      <c r="Q79" s="40"/>
      <c r="R79" s="40"/>
      <c r="S79" s="4">
        <f t="shared" si="4"/>
        <v>5</v>
      </c>
      <c r="T79" s="54">
        <f t="shared" si="5"/>
        <v>33</v>
      </c>
      <c r="U79" s="55" t="str">
        <f t="shared" si="6"/>
        <v>NE</v>
      </c>
    </row>
    <row r="80" spans="1:21" ht="17.850000000000001" customHeight="1">
      <c r="A80" s="44">
        <v>68</v>
      </c>
      <c r="B80" s="60" t="s">
        <v>162</v>
      </c>
      <c r="C80" s="63" t="s">
        <v>163</v>
      </c>
      <c r="D80" s="40" t="s">
        <v>14</v>
      </c>
      <c r="E80" s="40" t="s">
        <v>14</v>
      </c>
      <c r="F80" s="40" t="s">
        <v>14</v>
      </c>
      <c r="G80" s="17" t="s">
        <v>14</v>
      </c>
      <c r="H80" s="17" t="s">
        <v>14</v>
      </c>
      <c r="I80" s="41"/>
      <c r="J80" s="67"/>
      <c r="K80" s="67"/>
      <c r="L80" s="41"/>
      <c r="M80" s="41"/>
      <c r="N80" s="40"/>
      <c r="O80" s="40"/>
      <c r="P80" s="40"/>
      <c r="Q80" s="40"/>
      <c r="R80" s="40"/>
      <c r="S80" s="4">
        <f t="shared" si="4"/>
        <v>5</v>
      </c>
      <c r="T80" s="54">
        <f t="shared" si="5"/>
        <v>33</v>
      </c>
      <c r="U80" s="55" t="str">
        <f t="shared" si="6"/>
        <v>NE</v>
      </c>
    </row>
    <row r="81" spans="1:22" ht="17.850000000000001" customHeight="1">
      <c r="A81" s="44">
        <v>69</v>
      </c>
      <c r="B81" s="62" t="s">
        <v>164</v>
      </c>
      <c r="C81" s="61" t="s">
        <v>165</v>
      </c>
      <c r="D81" s="40" t="s">
        <v>14</v>
      </c>
      <c r="E81" s="40" t="s">
        <v>14</v>
      </c>
      <c r="F81" s="40" t="s">
        <v>14</v>
      </c>
      <c r="G81" s="17" t="s">
        <v>14</v>
      </c>
      <c r="H81" s="17" t="s">
        <v>14</v>
      </c>
      <c r="I81" s="41"/>
      <c r="J81" s="67"/>
      <c r="K81" s="67"/>
      <c r="L81" s="41"/>
      <c r="M81" s="41"/>
      <c r="N81" s="40"/>
      <c r="O81" s="40"/>
      <c r="P81" s="40"/>
      <c r="Q81" s="40"/>
      <c r="R81" s="40"/>
      <c r="S81" s="4">
        <f t="shared" si="4"/>
        <v>5</v>
      </c>
      <c r="T81" s="54">
        <f t="shared" si="5"/>
        <v>33</v>
      </c>
      <c r="U81" s="55" t="str">
        <f t="shared" si="6"/>
        <v>NE</v>
      </c>
    </row>
    <row r="82" spans="1:22" ht="17.850000000000001" customHeight="1">
      <c r="A82" s="44">
        <v>70</v>
      </c>
      <c r="B82" s="60" t="s">
        <v>166</v>
      </c>
      <c r="C82" s="63" t="s">
        <v>167</v>
      </c>
      <c r="D82" s="17" t="s">
        <v>14</v>
      </c>
      <c r="E82" s="17" t="s">
        <v>14</v>
      </c>
      <c r="F82" s="17" t="s">
        <v>14</v>
      </c>
      <c r="G82" s="17" t="s">
        <v>14</v>
      </c>
      <c r="H82" s="17" t="s">
        <v>14</v>
      </c>
      <c r="I82" s="41"/>
      <c r="J82" s="67"/>
      <c r="K82" s="67"/>
      <c r="L82" s="41"/>
      <c r="M82" s="41"/>
      <c r="N82" s="40"/>
      <c r="O82" s="40"/>
      <c r="P82" s="40"/>
      <c r="Q82" s="40"/>
      <c r="R82" s="40"/>
      <c r="S82" s="4">
        <f t="shared" si="4"/>
        <v>5</v>
      </c>
      <c r="T82" s="54">
        <f t="shared" si="5"/>
        <v>33</v>
      </c>
      <c r="U82" s="55" t="str">
        <f t="shared" si="6"/>
        <v>NE</v>
      </c>
      <c r="V82" s="56" t="s">
        <v>27</v>
      </c>
    </row>
    <row r="83" spans="1:22" ht="17.850000000000001" customHeight="1">
      <c r="A83" s="44">
        <v>71</v>
      </c>
      <c r="B83" s="62" t="s">
        <v>170</v>
      </c>
      <c r="C83" s="61" t="s">
        <v>171</v>
      </c>
      <c r="D83" s="40" t="s">
        <v>14</v>
      </c>
      <c r="E83" s="40" t="s">
        <v>14</v>
      </c>
      <c r="F83" s="40" t="s">
        <v>14</v>
      </c>
      <c r="G83" s="17" t="s">
        <v>14</v>
      </c>
      <c r="H83" s="17" t="s">
        <v>14</v>
      </c>
      <c r="I83" s="41"/>
      <c r="J83" s="67"/>
      <c r="K83" s="67"/>
      <c r="L83" s="41"/>
      <c r="M83" s="41"/>
      <c r="N83" s="40"/>
      <c r="O83" s="40"/>
      <c r="P83" s="40"/>
      <c r="Q83" s="40"/>
      <c r="R83" s="40"/>
      <c r="S83" s="4">
        <f t="shared" si="4"/>
        <v>5</v>
      </c>
      <c r="T83" s="54">
        <f t="shared" si="5"/>
        <v>33</v>
      </c>
      <c r="U83" s="55" t="str">
        <f t="shared" si="6"/>
        <v>NE</v>
      </c>
    </row>
    <row r="84" spans="1:22" ht="17.850000000000001" customHeight="1">
      <c r="A84" s="44">
        <v>72</v>
      </c>
      <c r="B84" s="62" t="s">
        <v>172</v>
      </c>
      <c r="C84" s="63" t="s">
        <v>173</v>
      </c>
      <c r="D84" s="40" t="s">
        <v>14</v>
      </c>
      <c r="E84" s="40" t="s">
        <v>14</v>
      </c>
      <c r="F84" s="40" t="s">
        <v>14</v>
      </c>
      <c r="G84" s="17" t="s">
        <v>14</v>
      </c>
      <c r="H84" s="17" t="s">
        <v>14</v>
      </c>
      <c r="I84" s="41"/>
      <c r="J84" s="67"/>
      <c r="K84" s="67"/>
      <c r="L84" s="41"/>
      <c r="M84" s="41"/>
      <c r="N84" s="40"/>
      <c r="O84" s="40"/>
      <c r="P84" s="40"/>
      <c r="Q84" s="40"/>
      <c r="R84" s="40"/>
      <c r="S84" s="4">
        <f t="shared" si="4"/>
        <v>5</v>
      </c>
      <c r="T84" s="54">
        <f t="shared" si="5"/>
        <v>33</v>
      </c>
      <c r="U84" s="55" t="str">
        <f t="shared" si="6"/>
        <v>NE</v>
      </c>
    </row>
    <row r="85" spans="1:22" ht="17.850000000000001" customHeight="1">
      <c r="A85" s="44">
        <v>73</v>
      </c>
      <c r="B85" s="60" t="s">
        <v>174</v>
      </c>
      <c r="C85" s="63" t="s">
        <v>175</v>
      </c>
      <c r="D85" s="40" t="s">
        <v>14</v>
      </c>
      <c r="E85" s="40" t="s">
        <v>14</v>
      </c>
      <c r="F85" s="40" t="s">
        <v>14</v>
      </c>
      <c r="G85" s="17" t="s">
        <v>14</v>
      </c>
      <c r="H85" s="17" t="s">
        <v>14</v>
      </c>
      <c r="I85" s="41"/>
      <c r="J85" s="67"/>
      <c r="K85" s="67"/>
      <c r="L85" s="41"/>
      <c r="M85" s="41"/>
      <c r="N85" s="40"/>
      <c r="O85" s="40"/>
      <c r="P85" s="40"/>
      <c r="Q85" s="40"/>
      <c r="R85" s="40"/>
      <c r="S85" s="4">
        <f t="shared" si="4"/>
        <v>5</v>
      </c>
      <c r="T85" s="54">
        <f t="shared" si="5"/>
        <v>33</v>
      </c>
      <c r="U85" s="55" t="str">
        <f t="shared" si="6"/>
        <v>NE</v>
      </c>
    </row>
    <row r="86" spans="1:22" ht="17.850000000000001" customHeight="1">
      <c r="A86" s="44">
        <v>74</v>
      </c>
      <c r="B86" s="62" t="s">
        <v>176</v>
      </c>
      <c r="C86" s="61" t="s">
        <v>177</v>
      </c>
      <c r="D86" s="40" t="s">
        <v>14</v>
      </c>
      <c r="E86" s="40" t="s">
        <v>14</v>
      </c>
      <c r="F86" s="40" t="s">
        <v>14</v>
      </c>
      <c r="G86" s="17" t="s">
        <v>14</v>
      </c>
      <c r="H86" s="17" t="s">
        <v>14</v>
      </c>
      <c r="I86" s="41"/>
      <c r="J86" s="67"/>
      <c r="K86" s="67"/>
      <c r="L86" s="41"/>
      <c r="M86" s="41"/>
      <c r="N86" s="40"/>
      <c r="O86" s="40"/>
      <c r="P86" s="40"/>
      <c r="Q86" s="40"/>
      <c r="R86" s="40"/>
      <c r="S86" s="4">
        <f t="shared" si="4"/>
        <v>5</v>
      </c>
      <c r="T86" s="54">
        <f t="shared" si="5"/>
        <v>33</v>
      </c>
      <c r="U86" s="55" t="str">
        <f t="shared" si="6"/>
        <v>NE</v>
      </c>
    </row>
    <row r="87" spans="1:22" ht="17.850000000000001" customHeight="1">
      <c r="A87" s="44">
        <v>75</v>
      </c>
      <c r="B87" s="62" t="s">
        <v>178</v>
      </c>
      <c r="C87" s="61" t="s">
        <v>179</v>
      </c>
      <c r="D87" s="40" t="s">
        <v>14</v>
      </c>
      <c r="E87" s="40" t="s">
        <v>14</v>
      </c>
      <c r="F87" s="40" t="s">
        <v>14</v>
      </c>
      <c r="G87" s="17" t="s">
        <v>14</v>
      </c>
      <c r="H87" s="17" t="s">
        <v>14</v>
      </c>
      <c r="I87" s="41"/>
      <c r="J87" s="67"/>
      <c r="K87" s="67"/>
      <c r="L87" s="41"/>
      <c r="M87" s="41"/>
      <c r="N87" s="40"/>
      <c r="O87" s="40"/>
      <c r="P87" s="40"/>
      <c r="Q87" s="40"/>
      <c r="R87" s="40"/>
      <c r="S87" s="4">
        <f t="shared" si="4"/>
        <v>5</v>
      </c>
      <c r="T87" s="54">
        <f t="shared" si="5"/>
        <v>33</v>
      </c>
      <c r="U87" s="55" t="str">
        <f t="shared" si="6"/>
        <v>NE</v>
      </c>
    </row>
    <row r="88" spans="1:22" ht="17.850000000000001" customHeight="1">
      <c r="A88" s="44">
        <v>76</v>
      </c>
      <c r="B88" s="62" t="s">
        <v>180</v>
      </c>
      <c r="C88" s="63" t="s">
        <v>181</v>
      </c>
      <c r="D88" s="40" t="s">
        <v>14</v>
      </c>
      <c r="E88" s="40" t="s">
        <v>14</v>
      </c>
      <c r="F88" s="40" t="s">
        <v>14</v>
      </c>
      <c r="G88" s="17" t="s">
        <v>14</v>
      </c>
      <c r="H88" s="17" t="s">
        <v>14</v>
      </c>
      <c r="I88" s="41"/>
      <c r="J88" s="67"/>
      <c r="K88" s="67"/>
      <c r="L88" s="41"/>
      <c r="M88" s="41"/>
      <c r="N88" s="40"/>
      <c r="O88" s="40"/>
      <c r="P88" s="40"/>
      <c r="Q88" s="40"/>
      <c r="R88" s="40"/>
      <c r="S88" s="4">
        <f t="shared" si="4"/>
        <v>5</v>
      </c>
      <c r="T88" s="54">
        <f t="shared" si="5"/>
        <v>33</v>
      </c>
      <c r="U88" s="55" t="str">
        <f t="shared" si="6"/>
        <v>NE</v>
      </c>
    </row>
    <row r="89" spans="1:22" ht="17.850000000000001" customHeight="1">
      <c r="A89" s="44">
        <v>77</v>
      </c>
      <c r="B89" s="60" t="s">
        <v>182</v>
      </c>
      <c r="C89" s="61" t="s">
        <v>183</v>
      </c>
      <c r="D89" s="40" t="s">
        <v>14</v>
      </c>
      <c r="E89" s="40" t="s">
        <v>14</v>
      </c>
      <c r="F89" s="40" t="s">
        <v>14</v>
      </c>
      <c r="G89" s="17" t="s">
        <v>14</v>
      </c>
      <c r="H89" s="17" t="s">
        <v>14</v>
      </c>
      <c r="I89" s="41"/>
      <c r="J89" s="67"/>
      <c r="K89" s="67"/>
      <c r="L89" s="41"/>
      <c r="M89" s="41"/>
      <c r="N89" s="40"/>
      <c r="O89" s="40"/>
      <c r="P89" s="40"/>
      <c r="Q89" s="40"/>
      <c r="R89" s="40"/>
      <c r="S89" s="4">
        <f t="shared" si="4"/>
        <v>5</v>
      </c>
      <c r="T89" s="54">
        <f t="shared" si="5"/>
        <v>33</v>
      </c>
      <c r="U89" s="55" t="str">
        <f t="shared" si="6"/>
        <v>NE</v>
      </c>
    </row>
    <row r="90" spans="1:22" ht="17.850000000000001" customHeight="1">
      <c r="A90" s="44">
        <v>78</v>
      </c>
      <c r="B90" s="60" t="s">
        <v>184</v>
      </c>
      <c r="C90" s="63" t="s">
        <v>185</v>
      </c>
      <c r="D90" s="40" t="s">
        <v>14</v>
      </c>
      <c r="E90" s="40" t="s">
        <v>14</v>
      </c>
      <c r="F90" s="40" t="s">
        <v>14</v>
      </c>
      <c r="G90" s="17" t="s">
        <v>14</v>
      </c>
      <c r="H90" s="17" t="s">
        <v>14</v>
      </c>
      <c r="I90" s="41"/>
      <c r="J90" s="67"/>
      <c r="K90" s="67"/>
      <c r="L90" s="41"/>
      <c r="M90" s="41"/>
      <c r="N90" s="40"/>
      <c r="O90" s="40"/>
      <c r="P90" s="40"/>
      <c r="Q90" s="40"/>
      <c r="R90" s="40"/>
      <c r="S90" s="4">
        <f t="shared" si="4"/>
        <v>5</v>
      </c>
      <c r="T90" s="54">
        <f t="shared" si="5"/>
        <v>33</v>
      </c>
      <c r="U90" s="55" t="str">
        <f t="shared" si="6"/>
        <v>NE</v>
      </c>
    </row>
    <row r="91" spans="1:22" ht="17.850000000000001" customHeight="1">
      <c r="A91" s="44">
        <v>79</v>
      </c>
      <c r="B91" s="62" t="s">
        <v>188</v>
      </c>
      <c r="C91" s="61" t="s">
        <v>189</v>
      </c>
      <c r="D91" s="40" t="s">
        <v>14</v>
      </c>
      <c r="E91" s="40" t="s">
        <v>14</v>
      </c>
      <c r="F91" s="40" t="s">
        <v>14</v>
      </c>
      <c r="G91" s="17" t="s">
        <v>14</v>
      </c>
      <c r="H91" s="17" t="s">
        <v>14</v>
      </c>
      <c r="I91" s="41"/>
      <c r="J91" s="67"/>
      <c r="K91" s="67"/>
      <c r="L91" s="41"/>
      <c r="M91" s="41"/>
      <c r="N91" s="40"/>
      <c r="O91" s="40"/>
      <c r="P91" s="40"/>
      <c r="Q91" s="40"/>
      <c r="R91" s="40"/>
      <c r="S91" s="4">
        <f t="shared" si="4"/>
        <v>5</v>
      </c>
      <c r="T91" s="54">
        <f t="shared" si="5"/>
        <v>33</v>
      </c>
      <c r="U91" s="55" t="str">
        <f t="shared" si="6"/>
        <v>NE</v>
      </c>
    </row>
    <row r="92" spans="1:22" ht="17.850000000000001" customHeight="1">
      <c r="A92" s="44">
        <v>80</v>
      </c>
      <c r="B92" s="60" t="s">
        <v>190</v>
      </c>
      <c r="C92" s="63" t="s">
        <v>191</v>
      </c>
      <c r="D92" s="40" t="s">
        <v>14</v>
      </c>
      <c r="E92" s="40" t="s">
        <v>14</v>
      </c>
      <c r="F92" s="40" t="s">
        <v>14</v>
      </c>
      <c r="G92" s="17" t="s">
        <v>14</v>
      </c>
      <c r="H92" s="17" t="s">
        <v>14</v>
      </c>
      <c r="I92" s="41"/>
      <c r="J92" s="67"/>
      <c r="K92" s="67"/>
      <c r="L92" s="41"/>
      <c r="M92" s="41"/>
      <c r="N92" s="40"/>
      <c r="O92" s="40"/>
      <c r="P92" s="40"/>
      <c r="Q92" s="40"/>
      <c r="R92" s="40"/>
      <c r="S92" s="4">
        <f t="shared" si="4"/>
        <v>5</v>
      </c>
      <c r="T92" s="54">
        <f t="shared" si="5"/>
        <v>33</v>
      </c>
      <c r="U92" s="55" t="str">
        <f t="shared" si="6"/>
        <v>NE</v>
      </c>
    </row>
    <row r="93" spans="1:22" ht="17.850000000000001" customHeight="1">
      <c r="A93" s="44">
        <v>81</v>
      </c>
      <c r="B93" s="62" t="s">
        <v>192</v>
      </c>
      <c r="C93" s="61" t="s">
        <v>193</v>
      </c>
      <c r="D93" s="40" t="s">
        <v>14</v>
      </c>
      <c r="E93" s="40" t="s">
        <v>14</v>
      </c>
      <c r="F93" s="40" t="s">
        <v>14</v>
      </c>
      <c r="G93" s="17" t="s">
        <v>14</v>
      </c>
      <c r="H93" s="17" t="s">
        <v>14</v>
      </c>
      <c r="I93" s="21"/>
      <c r="J93" s="105"/>
      <c r="K93" s="105"/>
      <c r="L93" s="21"/>
      <c r="M93" s="21"/>
      <c r="N93" s="40"/>
      <c r="O93" s="40"/>
      <c r="P93" s="40"/>
      <c r="Q93" s="40"/>
      <c r="R93" s="40"/>
      <c r="S93" s="4">
        <f t="shared" si="4"/>
        <v>5</v>
      </c>
      <c r="T93" s="54">
        <f t="shared" si="5"/>
        <v>33</v>
      </c>
      <c r="U93" s="55" t="str">
        <f t="shared" si="6"/>
        <v>NE</v>
      </c>
    </row>
    <row r="94" spans="1:22" ht="17.850000000000001" customHeight="1">
      <c r="A94" s="3"/>
      <c r="B94" s="48"/>
      <c r="C94" s="37"/>
      <c r="D94" s="38"/>
      <c r="E94" s="38"/>
      <c r="F94" s="38"/>
      <c r="G94" s="38"/>
      <c r="H94" s="38"/>
      <c r="I94" s="39"/>
      <c r="J94" s="39"/>
      <c r="K94" s="39"/>
      <c r="L94" s="39"/>
      <c r="M94" s="39"/>
      <c r="N94" s="40"/>
      <c r="O94" s="40"/>
      <c r="P94" s="40"/>
      <c r="Q94" s="40"/>
      <c r="R94" s="40"/>
      <c r="S94" s="4">
        <f t="shared" ref="S94:S97" si="7">COUNTIF(D94:R94,"P")</f>
        <v>0</v>
      </c>
      <c r="T94" s="54">
        <f t="shared" si="5"/>
        <v>0</v>
      </c>
      <c r="U94" s="55" t="str">
        <f t="shared" si="6"/>
        <v>NE</v>
      </c>
    </row>
    <row r="95" spans="1:22" ht="17.850000000000001" customHeight="1">
      <c r="A95" s="3"/>
      <c r="B95" s="62"/>
      <c r="C95" s="63"/>
      <c r="D95" s="17"/>
      <c r="E95" s="17"/>
      <c r="F95" s="17"/>
      <c r="G95" s="17"/>
      <c r="H95" s="17"/>
      <c r="I95" s="21"/>
      <c r="J95" s="21"/>
      <c r="K95" s="21"/>
      <c r="L95" s="21"/>
      <c r="M95" s="21"/>
      <c r="N95" s="40"/>
      <c r="O95" s="40"/>
      <c r="P95" s="40"/>
      <c r="Q95" s="40"/>
      <c r="R95" s="40"/>
      <c r="S95" s="4">
        <f t="shared" si="7"/>
        <v>0</v>
      </c>
      <c r="T95" s="54">
        <f t="shared" si="5"/>
        <v>0</v>
      </c>
      <c r="U95" s="55" t="str">
        <f t="shared" si="6"/>
        <v>NE</v>
      </c>
    </row>
    <row r="96" spans="1:22" ht="17.850000000000001" customHeight="1">
      <c r="A96" s="3"/>
      <c r="B96" s="62"/>
      <c r="C96" s="61"/>
      <c r="D96" s="17"/>
      <c r="E96" s="17"/>
      <c r="F96" s="17"/>
      <c r="G96" s="17"/>
      <c r="H96" s="17"/>
      <c r="I96" s="21"/>
      <c r="J96" s="21"/>
      <c r="K96" s="21"/>
      <c r="L96" s="21"/>
      <c r="M96" s="21"/>
      <c r="N96" s="40"/>
      <c r="O96" s="40"/>
      <c r="P96" s="40"/>
      <c r="Q96" s="40"/>
      <c r="R96" s="40"/>
      <c r="S96" s="4">
        <f t="shared" si="7"/>
        <v>0</v>
      </c>
      <c r="T96" s="54">
        <f t="shared" si="5"/>
        <v>0</v>
      </c>
      <c r="U96" s="55" t="str">
        <f t="shared" si="6"/>
        <v>NE</v>
      </c>
    </row>
    <row r="97" spans="1:21" ht="17.850000000000001" customHeight="1">
      <c r="A97" s="27"/>
      <c r="B97" s="64"/>
      <c r="C97" s="65"/>
      <c r="D97" s="28"/>
      <c r="E97" s="28"/>
      <c r="F97" s="28"/>
      <c r="G97" s="28"/>
      <c r="H97" s="28"/>
      <c r="I97" s="22"/>
      <c r="J97" s="22"/>
      <c r="K97" s="22"/>
      <c r="L97" s="22"/>
      <c r="M97" s="22"/>
      <c r="N97" s="40"/>
      <c r="O97" s="40"/>
      <c r="P97" s="40"/>
      <c r="Q97" s="40"/>
      <c r="R97" s="40"/>
      <c r="S97" s="4">
        <f t="shared" si="7"/>
        <v>0</v>
      </c>
      <c r="T97" s="54">
        <f t="shared" si="5"/>
        <v>0</v>
      </c>
      <c r="U97" s="55" t="str">
        <f t="shared" si="6"/>
        <v>NE</v>
      </c>
    </row>
    <row r="98" spans="1:21" ht="15" customHeight="1">
      <c r="A98" s="25"/>
      <c r="B98" s="49"/>
      <c r="C98" s="31" t="s">
        <v>12</v>
      </c>
      <c r="D98" s="43">
        <f>COUNTIF(D13:D97,"P")</f>
        <v>68</v>
      </c>
      <c r="E98" s="43">
        <f t="shared" ref="E98:R98" si="8">COUNTIF(E13:E97,"P")</f>
        <v>73</v>
      </c>
      <c r="F98" s="43">
        <f t="shared" si="8"/>
        <v>71</v>
      </c>
      <c r="G98" s="43">
        <f t="shared" si="8"/>
        <v>66</v>
      </c>
      <c r="H98" s="43">
        <f t="shared" si="8"/>
        <v>66</v>
      </c>
      <c r="I98" s="23">
        <f t="shared" si="8"/>
        <v>0</v>
      </c>
      <c r="J98" s="23">
        <f t="shared" si="8"/>
        <v>0</v>
      </c>
      <c r="K98" s="23">
        <f t="shared" si="8"/>
        <v>0</v>
      </c>
      <c r="L98" s="23">
        <f t="shared" si="8"/>
        <v>0</v>
      </c>
      <c r="M98" s="23">
        <f t="shared" si="8"/>
        <v>0</v>
      </c>
      <c r="N98" s="43">
        <f t="shared" si="8"/>
        <v>0</v>
      </c>
      <c r="O98" s="43">
        <f t="shared" si="8"/>
        <v>0</v>
      </c>
      <c r="P98" s="43">
        <f t="shared" si="8"/>
        <v>0</v>
      </c>
      <c r="Q98" s="43">
        <f t="shared" si="8"/>
        <v>0</v>
      </c>
      <c r="R98" s="43">
        <f t="shared" si="8"/>
        <v>0</v>
      </c>
      <c r="S98" s="5"/>
      <c r="T98" s="5"/>
    </row>
    <row r="99" spans="1:21" ht="16.5" customHeight="1">
      <c r="A99" s="25"/>
      <c r="B99" s="50"/>
      <c r="C99" s="32" t="s">
        <v>13</v>
      </c>
      <c r="D99" s="43">
        <f>COUNTIF(D13:D97,"A")</f>
        <v>13</v>
      </c>
      <c r="E99" s="43">
        <f t="shared" ref="E99:R99" si="9">COUNTIF(E13:E97,"A")</f>
        <v>8</v>
      </c>
      <c r="F99" s="43">
        <f t="shared" si="9"/>
        <v>10</v>
      </c>
      <c r="G99" s="43">
        <f t="shared" si="9"/>
        <v>15</v>
      </c>
      <c r="H99" s="43">
        <f t="shared" si="9"/>
        <v>15</v>
      </c>
      <c r="I99" s="23">
        <f t="shared" si="9"/>
        <v>0</v>
      </c>
      <c r="J99" s="23">
        <f t="shared" si="9"/>
        <v>0</v>
      </c>
      <c r="K99" s="23">
        <f t="shared" si="9"/>
        <v>0</v>
      </c>
      <c r="L99" s="23">
        <f t="shared" si="9"/>
        <v>0</v>
      </c>
      <c r="M99" s="23">
        <f t="shared" si="9"/>
        <v>0</v>
      </c>
      <c r="N99" s="43">
        <f t="shared" si="9"/>
        <v>0</v>
      </c>
      <c r="O99" s="43">
        <f t="shared" si="9"/>
        <v>0</v>
      </c>
      <c r="P99" s="43">
        <f t="shared" si="9"/>
        <v>0</v>
      </c>
      <c r="Q99" s="43">
        <f t="shared" si="9"/>
        <v>0</v>
      </c>
      <c r="R99" s="43">
        <f t="shared" si="9"/>
        <v>0</v>
      </c>
      <c r="S99" s="5"/>
      <c r="T99" s="5"/>
    </row>
    <row r="100" spans="1:21" ht="16.5" customHeight="1">
      <c r="A100" s="29"/>
      <c r="B100" s="51"/>
      <c r="C100" s="57" t="s">
        <v>18</v>
      </c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24"/>
      <c r="S100" s="25"/>
      <c r="T100" s="25"/>
    </row>
    <row r="101" spans="1:21" ht="29.25" customHeight="1">
      <c r="A101" s="26"/>
      <c r="B101" s="5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1"/>
      <c r="T101" s="1"/>
    </row>
    <row r="102" spans="1:21" ht="15.75" customHeight="1">
      <c r="A102" s="156" t="s">
        <v>11</v>
      </c>
      <c r="B102" s="157"/>
      <c r="C102" s="157"/>
      <c r="D102" s="157"/>
      <c r="E102" s="157"/>
      <c r="F102" s="157"/>
      <c r="G102" s="157"/>
      <c r="H102" s="157"/>
      <c r="I102" s="157"/>
      <c r="J102" s="157"/>
      <c r="K102" s="157"/>
      <c r="L102" s="157"/>
      <c r="M102" s="157"/>
      <c r="N102" s="157"/>
      <c r="O102" s="157"/>
      <c r="P102" s="157"/>
      <c r="Q102" s="157"/>
      <c r="R102" s="157"/>
      <c r="S102" s="157"/>
      <c r="T102" s="157"/>
      <c r="U102" s="35"/>
    </row>
  </sheetData>
  <sortState xmlns:xlrd2="http://schemas.microsoft.com/office/spreadsheetml/2017/richdata2" ref="B13:S93">
    <sortCondition ref="S13:S93"/>
    <sortCondition ref="B13:B93"/>
  </sortState>
  <mergeCells count="15">
    <mergeCell ref="A4:T4"/>
    <mergeCell ref="A5:T5"/>
    <mergeCell ref="A6:T6"/>
    <mergeCell ref="P7:T7"/>
    <mergeCell ref="P9:T9"/>
    <mergeCell ref="U10:U12"/>
    <mergeCell ref="D11:H11"/>
    <mergeCell ref="I11:M11"/>
    <mergeCell ref="N11:R11"/>
    <mergeCell ref="A102:T102"/>
    <mergeCell ref="A10:A12"/>
    <mergeCell ref="B10:B12"/>
    <mergeCell ref="C10:C12"/>
    <mergeCell ref="S10:S12"/>
    <mergeCell ref="T10:T12"/>
  </mergeCells>
  <conditionalFormatting sqref="D13:R97">
    <cfRule type="containsText" dxfId="8" priority="1" operator="containsText" text="A">
      <formula>NOT(ISERROR(SEARCH("A",D13)))</formula>
    </cfRule>
  </conditionalFormatting>
  <conditionalFormatting sqref="T13:T97">
    <cfRule type="cellIs" dxfId="7" priority="23" operator="lessThan">
      <formula>75</formula>
    </cfRule>
  </conditionalFormatting>
  <conditionalFormatting sqref="U13:U97">
    <cfRule type="containsText" dxfId="6" priority="20" operator="containsText" text="CN">
      <formula>NOT(ISERROR(SEARCH("CN",U13)))</formula>
    </cfRule>
    <cfRule type="containsText" dxfId="5" priority="21" operator="containsText" text="NE">
      <formula>NOT(ISERROR(SEARCH("NE",U13)))</formula>
    </cfRule>
  </conditionalFormatting>
  <pageMargins left="0.70866141732283472" right="0.51181102362204722" top="0.74803149606299213" bottom="0.74803149606299213" header="0.31496062992125984" footer="0.31496062992125984"/>
  <pageSetup scale="8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102"/>
  <sheetViews>
    <sheetView view="pageBreakPreview" topLeftCell="A88" zoomScale="110" zoomScaleNormal="100" zoomScaleSheetLayoutView="110" workbookViewId="0">
      <selection activeCell="V97" sqref="V14:V97"/>
    </sheetView>
  </sheetViews>
  <sheetFormatPr defaultRowHeight="13.8"/>
  <cols>
    <col min="1" max="1" width="5.44140625" style="126" customWidth="1"/>
    <col min="2" max="2" width="12.33203125" style="127" customWidth="1"/>
    <col min="3" max="3" width="37.44140625" style="126" customWidth="1"/>
    <col min="4" max="18" width="6.6640625" customWidth="1"/>
    <col min="19" max="19" width="6" customWidth="1"/>
    <col min="20" max="20" width="4.33203125" customWidth="1"/>
    <col min="21" max="21" width="5.109375" style="33" customWidth="1"/>
    <col min="23" max="23" width="12.33203125" customWidth="1"/>
  </cols>
  <sheetData>
    <row r="1" spans="1:23" ht="10.5" customHeight="1">
      <c r="A1" s="108"/>
      <c r="B1" s="109"/>
      <c r="C1" s="10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</row>
    <row r="2" spans="1:23" ht="21" customHeight="1">
      <c r="A2" s="110"/>
      <c r="B2" s="111"/>
      <c r="C2" s="110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</row>
    <row r="3" spans="1:23" ht="21.6" customHeight="1">
      <c r="A3" s="110"/>
      <c r="B3" s="111"/>
      <c r="C3" s="110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</row>
    <row r="4" spans="1:23" ht="17.25" customHeight="1">
      <c r="A4" s="145" t="s">
        <v>6</v>
      </c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7"/>
    </row>
    <row r="5" spans="1:23" ht="33" customHeight="1">
      <c r="A5" s="146" t="s">
        <v>10</v>
      </c>
      <c r="B5" s="148"/>
      <c r="C5" s="148"/>
      <c r="D5" s="148"/>
      <c r="E5" s="148"/>
      <c r="F5" s="148"/>
      <c r="G5" s="148"/>
      <c r="H5" s="148"/>
      <c r="I5" s="148"/>
      <c r="J5" s="148"/>
      <c r="K5" s="148"/>
      <c r="L5" s="148"/>
      <c r="M5" s="148"/>
      <c r="N5" s="148"/>
      <c r="O5" s="148"/>
      <c r="P5" s="148"/>
      <c r="Q5" s="148"/>
      <c r="R5" s="148"/>
      <c r="S5" s="148"/>
      <c r="T5" s="148"/>
    </row>
    <row r="6" spans="1:23" ht="31.5" customHeight="1">
      <c r="A6" s="146" t="s">
        <v>22</v>
      </c>
      <c r="B6" s="148"/>
      <c r="C6" s="148"/>
      <c r="D6" s="148"/>
      <c r="E6" s="148"/>
      <c r="F6" s="148"/>
      <c r="G6" s="148"/>
      <c r="H6" s="148"/>
      <c r="I6" s="148"/>
      <c r="J6" s="148"/>
      <c r="K6" s="148"/>
      <c r="L6" s="148"/>
      <c r="M6" s="148"/>
      <c r="N6" s="148"/>
      <c r="O6" s="148"/>
      <c r="P6" s="148"/>
      <c r="Q6" s="148"/>
      <c r="R6" s="148"/>
      <c r="S6" s="148"/>
      <c r="T6" s="148"/>
    </row>
    <row r="7" spans="1:23" ht="18.75" customHeight="1">
      <c r="A7" s="42" t="s">
        <v>203</v>
      </c>
      <c r="B7" s="72"/>
      <c r="C7" s="72"/>
      <c r="D7" s="72"/>
      <c r="E7" s="72"/>
      <c r="F7" s="72"/>
      <c r="G7" s="72"/>
      <c r="H7" s="72"/>
      <c r="I7" s="72"/>
      <c r="J7" s="7"/>
      <c r="K7" s="10"/>
      <c r="L7" s="10"/>
      <c r="M7" s="10"/>
      <c r="N7" s="10"/>
      <c r="O7" s="10"/>
      <c r="P7" s="149" t="s">
        <v>16</v>
      </c>
      <c r="Q7" s="149"/>
      <c r="R7" s="149"/>
      <c r="S7" s="149"/>
      <c r="T7" s="149"/>
    </row>
    <row r="8" spans="1:23" ht="18.75" customHeight="1">
      <c r="A8" s="73" t="s">
        <v>204</v>
      </c>
      <c r="B8" s="89"/>
      <c r="C8" s="89"/>
      <c r="D8" s="89"/>
      <c r="E8" s="89"/>
      <c r="F8" s="89"/>
      <c r="G8" s="89"/>
      <c r="H8" s="89"/>
      <c r="I8" s="89"/>
      <c r="J8" s="7"/>
      <c r="K8" s="10"/>
      <c r="L8" s="10"/>
      <c r="M8" s="10"/>
      <c r="N8" s="10"/>
      <c r="O8" s="10"/>
      <c r="P8" s="34" t="s">
        <v>21</v>
      </c>
      <c r="Q8" s="90"/>
      <c r="R8" s="90"/>
      <c r="S8" s="90"/>
      <c r="T8" s="90"/>
    </row>
    <row r="9" spans="1:23" s="6" customFormat="1" ht="15" customHeight="1">
      <c r="A9" s="20" t="s">
        <v>365</v>
      </c>
      <c r="B9" s="47"/>
      <c r="C9" s="19"/>
      <c r="D9" s="11"/>
      <c r="E9" s="11"/>
      <c r="F9" s="11"/>
      <c r="G9" s="12"/>
      <c r="H9" s="11"/>
      <c r="I9" s="12"/>
      <c r="J9" s="12"/>
      <c r="K9" s="12"/>
      <c r="L9" s="12"/>
      <c r="M9" s="12"/>
      <c r="N9" s="12"/>
      <c r="O9" s="12"/>
      <c r="P9" s="150" t="s">
        <v>7</v>
      </c>
      <c r="Q9" s="150"/>
      <c r="R9" s="150"/>
      <c r="S9" s="150"/>
      <c r="T9" s="150"/>
      <c r="U9" s="34"/>
    </row>
    <row r="10" spans="1:23" ht="13.5" customHeight="1">
      <c r="A10" s="158" t="s">
        <v>19</v>
      </c>
      <c r="B10" s="161" t="s">
        <v>17</v>
      </c>
      <c r="C10" s="162" t="s">
        <v>24</v>
      </c>
      <c r="D10" s="14">
        <v>1</v>
      </c>
      <c r="E10" s="14">
        <v>2</v>
      </c>
      <c r="F10" s="14">
        <v>3</v>
      </c>
      <c r="G10" s="14">
        <v>4</v>
      </c>
      <c r="H10" s="14">
        <v>5</v>
      </c>
      <c r="I10" s="14">
        <v>6</v>
      </c>
      <c r="J10" s="14">
        <v>7</v>
      </c>
      <c r="K10" s="14">
        <v>8</v>
      </c>
      <c r="L10" s="14">
        <v>9</v>
      </c>
      <c r="M10" s="15">
        <v>10</v>
      </c>
      <c r="N10" s="15">
        <v>11</v>
      </c>
      <c r="O10" s="15">
        <v>12</v>
      </c>
      <c r="P10" s="15">
        <v>13</v>
      </c>
      <c r="Q10" s="15">
        <v>14</v>
      </c>
      <c r="R10" s="15">
        <v>15</v>
      </c>
      <c r="S10" s="163" t="s">
        <v>8</v>
      </c>
      <c r="T10" s="166" t="s">
        <v>9</v>
      </c>
      <c r="U10" s="151" t="s">
        <v>20</v>
      </c>
    </row>
    <row r="11" spans="1:23" ht="15.75" customHeight="1">
      <c r="A11" s="159"/>
      <c r="B11" s="161"/>
      <c r="C11" s="162"/>
      <c r="D11" s="154"/>
      <c r="E11" s="154"/>
      <c r="F11" s="154"/>
      <c r="G11" s="154"/>
      <c r="H11" s="154"/>
      <c r="I11" s="155"/>
      <c r="J11" s="155"/>
      <c r="K11" s="155"/>
      <c r="L11" s="155"/>
      <c r="M11" s="155"/>
      <c r="N11" s="154"/>
      <c r="O11" s="154"/>
      <c r="P11" s="154"/>
      <c r="Q11" s="154"/>
      <c r="R11" s="154"/>
      <c r="S11" s="164"/>
      <c r="T11" s="166"/>
      <c r="U11" s="152"/>
    </row>
    <row r="12" spans="1:23" ht="45" customHeight="1">
      <c r="A12" s="160"/>
      <c r="B12" s="161"/>
      <c r="C12" s="162"/>
      <c r="D12" s="18"/>
      <c r="E12" s="18"/>
      <c r="F12" s="18"/>
      <c r="G12" s="18"/>
      <c r="H12" s="18"/>
      <c r="I12" s="36"/>
      <c r="J12" s="36"/>
      <c r="K12" s="36"/>
      <c r="L12" s="36"/>
      <c r="M12" s="36"/>
      <c r="N12" s="18"/>
      <c r="O12" s="18"/>
      <c r="P12" s="18"/>
      <c r="Q12" s="18"/>
      <c r="R12" s="18"/>
      <c r="S12" s="165"/>
      <c r="T12" s="166"/>
      <c r="U12" s="153"/>
    </row>
    <row r="13" spans="1:23" ht="17.850000000000001" customHeight="1">
      <c r="A13" s="112">
        <v>1</v>
      </c>
      <c r="B13" s="139" t="s">
        <v>205</v>
      </c>
      <c r="C13" s="139" t="s">
        <v>206</v>
      </c>
      <c r="D13" s="40"/>
      <c r="E13" s="40"/>
      <c r="F13" s="40"/>
      <c r="G13" s="40"/>
      <c r="H13" s="40"/>
      <c r="I13" s="41"/>
      <c r="J13" s="67"/>
      <c r="K13" s="67"/>
      <c r="L13" s="41"/>
      <c r="M13" s="41"/>
      <c r="N13" s="40"/>
      <c r="O13" s="40"/>
      <c r="P13" s="40"/>
      <c r="Q13" s="40"/>
      <c r="R13" s="40"/>
      <c r="S13" s="13">
        <f>COUNTIF(D13:R13,"P")</f>
        <v>0</v>
      </c>
      <c r="T13" s="54">
        <f>ROUND(SUM(S13/15*100),0)</f>
        <v>0</v>
      </c>
      <c r="U13" s="55" t="str">
        <f>IF(T13&gt;=75,"EG",IF(T13&gt;=65,"CN","NE"))</f>
        <v>NE</v>
      </c>
    </row>
    <row r="14" spans="1:23" ht="17.850000000000001" customHeight="1">
      <c r="A14" s="112">
        <v>2</v>
      </c>
      <c r="B14" s="139" t="s">
        <v>207</v>
      </c>
      <c r="C14" s="139" t="s">
        <v>208</v>
      </c>
      <c r="D14" s="40"/>
      <c r="E14" s="40"/>
      <c r="F14" s="40"/>
      <c r="G14" s="40"/>
      <c r="H14" s="40"/>
      <c r="I14" s="41"/>
      <c r="J14" s="67"/>
      <c r="K14" s="67"/>
      <c r="L14" s="41"/>
      <c r="M14" s="41"/>
      <c r="N14" s="40"/>
      <c r="O14" s="40"/>
      <c r="P14" s="40"/>
      <c r="Q14" s="40"/>
      <c r="R14" s="40"/>
      <c r="S14" s="4">
        <f t="shared" ref="S14:S77" si="0">COUNTIF(D14:R14,"P")</f>
        <v>0</v>
      </c>
      <c r="T14" s="54">
        <f t="shared" ref="T14:T77" si="1">ROUND(SUM(S14/15*100),0)</f>
        <v>0</v>
      </c>
      <c r="U14" s="55" t="str">
        <f t="shared" ref="U14:U77" si="2">IF(T14&gt;=75,"EG",IF(T14&gt;=65,"CN","NE"))</f>
        <v>NE</v>
      </c>
    </row>
    <row r="15" spans="1:23" ht="17.850000000000001" customHeight="1">
      <c r="A15" s="112">
        <v>3</v>
      </c>
      <c r="B15" s="139" t="s">
        <v>209</v>
      </c>
      <c r="C15" s="139" t="s">
        <v>210</v>
      </c>
      <c r="D15" s="40"/>
      <c r="E15" s="40"/>
      <c r="F15" s="40"/>
      <c r="G15" s="40"/>
      <c r="H15" s="40"/>
      <c r="I15" s="41"/>
      <c r="J15" s="67"/>
      <c r="K15" s="67"/>
      <c r="L15" s="41"/>
      <c r="M15" s="41"/>
      <c r="N15" s="40"/>
      <c r="O15" s="40"/>
      <c r="P15" s="40"/>
      <c r="Q15" s="40"/>
      <c r="R15" s="40"/>
      <c r="S15" s="4">
        <f t="shared" si="0"/>
        <v>0</v>
      </c>
      <c r="T15" s="54">
        <f t="shared" si="1"/>
        <v>0</v>
      </c>
      <c r="U15" s="55" t="str">
        <f t="shared" si="2"/>
        <v>NE</v>
      </c>
      <c r="W15" s="56"/>
    </row>
    <row r="16" spans="1:23" ht="17.850000000000001" customHeight="1">
      <c r="A16" s="112">
        <v>4</v>
      </c>
      <c r="B16" s="139" t="s">
        <v>211</v>
      </c>
      <c r="C16" s="139" t="s">
        <v>212</v>
      </c>
      <c r="D16" s="40"/>
      <c r="E16" s="40"/>
      <c r="F16" s="40"/>
      <c r="G16" s="40"/>
      <c r="H16" s="40"/>
      <c r="I16" s="41"/>
      <c r="J16" s="67"/>
      <c r="K16" s="67"/>
      <c r="L16" s="41"/>
      <c r="M16" s="41"/>
      <c r="N16" s="40"/>
      <c r="O16" s="40"/>
      <c r="P16" s="40"/>
      <c r="Q16" s="40"/>
      <c r="R16" s="40"/>
      <c r="S16" s="4">
        <f t="shared" si="0"/>
        <v>0</v>
      </c>
      <c r="T16" s="54">
        <f t="shared" si="1"/>
        <v>0</v>
      </c>
      <c r="U16" s="55" t="str">
        <f t="shared" si="2"/>
        <v>NE</v>
      </c>
    </row>
    <row r="17" spans="1:22" ht="17.850000000000001" customHeight="1">
      <c r="A17" s="112">
        <v>5</v>
      </c>
      <c r="B17" s="139" t="s">
        <v>213</v>
      </c>
      <c r="C17" s="139" t="s">
        <v>214</v>
      </c>
      <c r="D17" s="40"/>
      <c r="E17" s="40"/>
      <c r="F17" s="40"/>
      <c r="G17" s="40"/>
      <c r="H17" s="40"/>
      <c r="I17" s="41"/>
      <c r="J17" s="67"/>
      <c r="K17" s="67"/>
      <c r="L17" s="41"/>
      <c r="M17" s="41"/>
      <c r="N17" s="40"/>
      <c r="O17" s="40"/>
      <c r="P17" s="40"/>
      <c r="Q17" s="40"/>
      <c r="R17" s="40"/>
      <c r="S17" s="4">
        <f t="shared" si="0"/>
        <v>0</v>
      </c>
      <c r="T17" s="54">
        <f t="shared" si="1"/>
        <v>0</v>
      </c>
      <c r="U17" s="55" t="str">
        <f t="shared" si="2"/>
        <v>NE</v>
      </c>
    </row>
    <row r="18" spans="1:22" ht="17.850000000000001" customHeight="1">
      <c r="A18" s="112">
        <v>6</v>
      </c>
      <c r="B18" s="139" t="s">
        <v>215</v>
      </c>
      <c r="C18" s="139" t="s">
        <v>216</v>
      </c>
      <c r="D18" s="40"/>
      <c r="E18" s="40"/>
      <c r="F18" s="40"/>
      <c r="G18" s="40"/>
      <c r="H18" s="40"/>
      <c r="I18" s="41"/>
      <c r="J18" s="67"/>
      <c r="K18" s="67"/>
      <c r="L18" s="41"/>
      <c r="M18" s="41"/>
      <c r="N18" s="40"/>
      <c r="O18" s="40"/>
      <c r="P18" s="40"/>
      <c r="Q18" s="40"/>
      <c r="R18" s="40"/>
      <c r="S18" s="4">
        <f t="shared" si="0"/>
        <v>0</v>
      </c>
      <c r="T18" s="54">
        <f t="shared" si="1"/>
        <v>0</v>
      </c>
      <c r="U18" s="55" t="str">
        <f t="shared" si="2"/>
        <v>NE</v>
      </c>
      <c r="V18" s="56"/>
    </row>
    <row r="19" spans="1:22" ht="17.850000000000001" customHeight="1">
      <c r="A19" s="112">
        <v>7</v>
      </c>
      <c r="B19" s="139" t="s">
        <v>217</v>
      </c>
      <c r="C19" s="139" t="s">
        <v>218</v>
      </c>
      <c r="D19" s="40"/>
      <c r="E19" s="40"/>
      <c r="F19" s="40"/>
      <c r="G19" s="40"/>
      <c r="H19" s="40"/>
      <c r="I19" s="41"/>
      <c r="J19" s="67"/>
      <c r="K19" s="67"/>
      <c r="L19" s="41"/>
      <c r="M19" s="41"/>
      <c r="N19" s="17"/>
      <c r="O19" s="17"/>
      <c r="P19" s="17"/>
      <c r="Q19" s="17"/>
      <c r="R19" s="17"/>
      <c r="S19" s="4">
        <f t="shared" si="0"/>
        <v>0</v>
      </c>
      <c r="T19" s="54">
        <f t="shared" si="1"/>
        <v>0</v>
      </c>
      <c r="U19" s="55" t="str">
        <f t="shared" si="2"/>
        <v>NE</v>
      </c>
    </row>
    <row r="20" spans="1:22" ht="17.850000000000001" customHeight="1">
      <c r="A20" s="112">
        <v>8</v>
      </c>
      <c r="B20" s="139" t="s">
        <v>219</v>
      </c>
      <c r="C20" s="139" t="s">
        <v>220</v>
      </c>
      <c r="D20" s="40"/>
      <c r="E20" s="40"/>
      <c r="F20" s="40"/>
      <c r="G20" s="40"/>
      <c r="H20" s="40"/>
      <c r="I20" s="41"/>
      <c r="J20" s="67"/>
      <c r="K20" s="67"/>
      <c r="L20" s="41"/>
      <c r="M20" s="41"/>
      <c r="N20" s="17"/>
      <c r="O20" s="17"/>
      <c r="P20" s="17"/>
      <c r="Q20" s="17"/>
      <c r="R20" s="17"/>
      <c r="S20" s="4">
        <f t="shared" si="0"/>
        <v>0</v>
      </c>
      <c r="T20" s="54">
        <f t="shared" si="1"/>
        <v>0</v>
      </c>
      <c r="U20" s="55" t="str">
        <f t="shared" si="2"/>
        <v>NE</v>
      </c>
      <c r="V20" s="56"/>
    </row>
    <row r="21" spans="1:22" ht="17.850000000000001" customHeight="1">
      <c r="A21" s="112">
        <v>9</v>
      </c>
      <c r="B21" s="139" t="s">
        <v>221</v>
      </c>
      <c r="C21" s="139" t="s">
        <v>222</v>
      </c>
      <c r="D21" s="40"/>
      <c r="E21" s="40"/>
      <c r="F21" s="40"/>
      <c r="G21" s="40"/>
      <c r="H21" s="40"/>
      <c r="I21" s="41"/>
      <c r="J21" s="67"/>
      <c r="K21" s="67"/>
      <c r="L21" s="41"/>
      <c r="M21" s="41"/>
      <c r="N21" s="17"/>
      <c r="O21" s="17"/>
      <c r="P21" s="17"/>
      <c r="Q21" s="17"/>
      <c r="R21" s="17"/>
      <c r="S21" s="4">
        <f>COUNTIF(D21:R21,"P")</f>
        <v>0</v>
      </c>
      <c r="T21" s="54">
        <f t="shared" si="1"/>
        <v>0</v>
      </c>
      <c r="U21" s="55" t="str">
        <f t="shared" si="2"/>
        <v>NE</v>
      </c>
    </row>
    <row r="22" spans="1:22" ht="17.850000000000001" customHeight="1">
      <c r="A22" s="112">
        <v>10</v>
      </c>
      <c r="B22" s="139" t="s">
        <v>223</v>
      </c>
      <c r="C22" s="139" t="s">
        <v>224</v>
      </c>
      <c r="D22" s="40"/>
      <c r="E22" s="40"/>
      <c r="F22" s="40"/>
      <c r="G22" s="40"/>
      <c r="H22" s="40"/>
      <c r="I22" s="41"/>
      <c r="J22" s="67"/>
      <c r="K22" s="67"/>
      <c r="L22" s="41"/>
      <c r="M22" s="41"/>
      <c r="N22" s="17"/>
      <c r="O22" s="17"/>
      <c r="P22" s="17"/>
      <c r="Q22" s="17"/>
      <c r="R22" s="17"/>
      <c r="S22" s="4">
        <f t="shared" si="0"/>
        <v>0</v>
      </c>
      <c r="T22" s="54">
        <f t="shared" si="1"/>
        <v>0</v>
      </c>
      <c r="U22" s="55" t="str">
        <f t="shared" si="2"/>
        <v>NE</v>
      </c>
    </row>
    <row r="23" spans="1:22" ht="17.850000000000001" customHeight="1">
      <c r="A23" s="112">
        <v>11</v>
      </c>
      <c r="B23" s="127" t="s">
        <v>225</v>
      </c>
      <c r="C23" s="126" t="s">
        <v>226</v>
      </c>
      <c r="D23" s="40"/>
      <c r="E23" s="40"/>
      <c r="F23" s="40"/>
      <c r="G23" s="40"/>
      <c r="H23" s="40"/>
      <c r="I23" s="41"/>
      <c r="J23" s="67"/>
      <c r="K23" s="67"/>
      <c r="L23" s="41"/>
      <c r="M23" s="41"/>
      <c r="N23" s="17"/>
      <c r="O23" s="17"/>
      <c r="P23" s="17"/>
      <c r="Q23" s="17"/>
      <c r="R23" s="17"/>
      <c r="S23" s="4">
        <f t="shared" si="0"/>
        <v>0</v>
      </c>
      <c r="T23" s="54">
        <f t="shared" si="1"/>
        <v>0</v>
      </c>
      <c r="U23" s="55" t="str">
        <f t="shared" si="2"/>
        <v>NE</v>
      </c>
    </row>
    <row r="24" spans="1:22" ht="17.850000000000001" customHeight="1">
      <c r="A24" s="112">
        <v>12</v>
      </c>
      <c r="B24" s="139" t="s">
        <v>227</v>
      </c>
      <c r="C24" s="139" t="s">
        <v>228</v>
      </c>
      <c r="D24" s="40"/>
      <c r="E24" s="40"/>
      <c r="F24" s="40"/>
      <c r="G24" s="40"/>
      <c r="H24" s="40"/>
      <c r="I24" s="41"/>
      <c r="J24" s="67"/>
      <c r="K24" s="67"/>
      <c r="L24" s="41"/>
      <c r="M24" s="41"/>
      <c r="N24" s="17"/>
      <c r="O24" s="17"/>
      <c r="P24" s="17"/>
      <c r="Q24" s="17"/>
      <c r="R24" s="17"/>
      <c r="S24" s="4">
        <f t="shared" si="0"/>
        <v>0</v>
      </c>
      <c r="T24" s="54">
        <f t="shared" si="1"/>
        <v>0</v>
      </c>
      <c r="U24" s="55" t="str">
        <f t="shared" si="2"/>
        <v>NE</v>
      </c>
    </row>
    <row r="25" spans="1:22" ht="17.850000000000001" customHeight="1">
      <c r="A25" s="112">
        <v>13</v>
      </c>
      <c r="B25" s="127" t="s">
        <v>229</v>
      </c>
      <c r="C25" s="126" t="s">
        <v>230</v>
      </c>
      <c r="D25" s="40"/>
      <c r="E25" s="40"/>
      <c r="F25" s="40"/>
      <c r="G25" s="40"/>
      <c r="H25" s="40"/>
      <c r="I25" s="41"/>
      <c r="J25" s="67"/>
      <c r="K25" s="67"/>
      <c r="L25" s="41"/>
      <c r="M25" s="41"/>
      <c r="N25" s="17"/>
      <c r="O25" s="17"/>
      <c r="P25" s="17"/>
      <c r="Q25" s="17"/>
      <c r="R25" s="17"/>
      <c r="S25" s="4">
        <f t="shared" si="0"/>
        <v>0</v>
      </c>
      <c r="T25" s="54">
        <f t="shared" si="1"/>
        <v>0</v>
      </c>
      <c r="U25" s="55" t="str">
        <f t="shared" si="2"/>
        <v>NE</v>
      </c>
    </row>
    <row r="26" spans="1:22" ht="17.850000000000001" customHeight="1">
      <c r="A26" s="112">
        <v>14</v>
      </c>
      <c r="B26" s="139" t="s">
        <v>231</v>
      </c>
      <c r="C26" s="139" t="s">
        <v>232</v>
      </c>
      <c r="D26" s="40"/>
      <c r="E26" s="40"/>
      <c r="F26" s="40"/>
      <c r="G26" s="40"/>
      <c r="H26" s="40"/>
      <c r="I26" s="41"/>
      <c r="J26" s="67"/>
      <c r="K26" s="67"/>
      <c r="L26" s="41"/>
      <c r="M26" s="41"/>
      <c r="N26" s="17"/>
      <c r="O26" s="17"/>
      <c r="P26" s="17"/>
      <c r="Q26" s="17"/>
      <c r="R26" s="17"/>
      <c r="S26" s="4">
        <f t="shared" si="0"/>
        <v>0</v>
      </c>
      <c r="T26" s="54">
        <f t="shared" si="1"/>
        <v>0</v>
      </c>
      <c r="U26" s="55" t="str">
        <f t="shared" si="2"/>
        <v>NE</v>
      </c>
    </row>
    <row r="27" spans="1:22" ht="17.850000000000001" customHeight="1">
      <c r="A27" s="112">
        <v>15</v>
      </c>
      <c r="B27" s="139" t="s">
        <v>233</v>
      </c>
      <c r="C27" s="139" t="s">
        <v>234</v>
      </c>
      <c r="D27" s="40"/>
      <c r="E27" s="40"/>
      <c r="F27" s="40"/>
      <c r="G27" s="40"/>
      <c r="H27" s="40"/>
      <c r="I27" s="41"/>
      <c r="J27" s="67"/>
      <c r="K27" s="67"/>
      <c r="L27" s="41"/>
      <c r="M27" s="41"/>
      <c r="N27" s="17"/>
      <c r="O27" s="17"/>
      <c r="P27" s="17"/>
      <c r="Q27" s="17"/>
      <c r="R27" s="17"/>
      <c r="S27" s="4">
        <f t="shared" si="0"/>
        <v>0</v>
      </c>
      <c r="T27" s="54">
        <f t="shared" si="1"/>
        <v>0</v>
      </c>
      <c r="U27" s="55" t="str">
        <f t="shared" si="2"/>
        <v>NE</v>
      </c>
    </row>
    <row r="28" spans="1:22" ht="17.850000000000001" customHeight="1">
      <c r="A28" s="112">
        <v>16</v>
      </c>
      <c r="B28" s="139" t="s">
        <v>235</v>
      </c>
      <c r="C28" s="139" t="s">
        <v>236</v>
      </c>
      <c r="D28" s="40"/>
      <c r="E28" s="40"/>
      <c r="F28" s="40"/>
      <c r="G28" s="40"/>
      <c r="H28" s="40"/>
      <c r="I28" s="41"/>
      <c r="J28" s="67"/>
      <c r="K28" s="67"/>
      <c r="L28" s="41"/>
      <c r="M28" s="41"/>
      <c r="N28" s="17"/>
      <c r="O28" s="17"/>
      <c r="P28" s="17"/>
      <c r="Q28" s="17"/>
      <c r="R28" s="17"/>
      <c r="S28" s="4">
        <f t="shared" si="0"/>
        <v>0</v>
      </c>
      <c r="T28" s="54">
        <f t="shared" si="1"/>
        <v>0</v>
      </c>
      <c r="U28" s="55" t="str">
        <f t="shared" si="2"/>
        <v>NE</v>
      </c>
    </row>
    <row r="29" spans="1:22" ht="17.850000000000001" customHeight="1">
      <c r="A29" s="112">
        <v>17</v>
      </c>
      <c r="B29" s="139" t="s">
        <v>237</v>
      </c>
      <c r="C29" s="139" t="s">
        <v>238</v>
      </c>
      <c r="D29" s="40"/>
      <c r="E29" s="40"/>
      <c r="F29" s="40"/>
      <c r="G29" s="40"/>
      <c r="H29" s="40"/>
      <c r="I29" s="67"/>
      <c r="J29" s="67"/>
      <c r="K29" s="67"/>
      <c r="L29" s="41"/>
      <c r="M29" s="41"/>
      <c r="N29" s="17"/>
      <c r="O29" s="17"/>
      <c r="P29" s="17"/>
      <c r="Q29" s="17"/>
      <c r="R29" s="17"/>
      <c r="S29" s="4">
        <f t="shared" si="0"/>
        <v>0</v>
      </c>
      <c r="T29" s="54">
        <f t="shared" si="1"/>
        <v>0</v>
      </c>
      <c r="U29" s="55" t="str">
        <f t="shared" si="2"/>
        <v>NE</v>
      </c>
    </row>
    <row r="30" spans="1:22" ht="17.850000000000001" customHeight="1">
      <c r="A30" s="112">
        <v>18</v>
      </c>
      <c r="B30" s="139" t="s">
        <v>239</v>
      </c>
      <c r="C30" s="139" t="s">
        <v>240</v>
      </c>
      <c r="D30" s="40"/>
      <c r="E30" s="40"/>
      <c r="F30" s="40"/>
      <c r="G30" s="40"/>
      <c r="H30" s="40"/>
      <c r="I30" s="41"/>
      <c r="J30" s="67"/>
      <c r="K30" s="67"/>
      <c r="L30" s="41"/>
      <c r="M30" s="41"/>
      <c r="N30" s="17"/>
      <c r="O30" s="17"/>
      <c r="P30" s="17"/>
      <c r="Q30" s="17"/>
      <c r="R30" s="17"/>
      <c r="S30" s="4">
        <f t="shared" si="0"/>
        <v>0</v>
      </c>
      <c r="T30" s="54">
        <f t="shared" si="1"/>
        <v>0</v>
      </c>
      <c r="U30" s="55" t="str">
        <f t="shared" si="2"/>
        <v>NE</v>
      </c>
    </row>
    <row r="31" spans="1:22" ht="17.850000000000001" customHeight="1">
      <c r="A31" s="112">
        <v>19</v>
      </c>
      <c r="B31" s="139" t="s">
        <v>241</v>
      </c>
      <c r="C31" s="139" t="s">
        <v>242</v>
      </c>
      <c r="D31" s="40"/>
      <c r="E31" s="40"/>
      <c r="F31" s="40"/>
      <c r="G31" s="40"/>
      <c r="H31" s="40"/>
      <c r="I31" s="41"/>
      <c r="J31" s="67"/>
      <c r="K31" s="67"/>
      <c r="L31" s="41"/>
      <c r="M31" s="41"/>
      <c r="N31" s="17"/>
      <c r="O31" s="17"/>
      <c r="P31" s="17"/>
      <c r="Q31" s="17"/>
      <c r="R31" s="17"/>
      <c r="S31" s="4">
        <f t="shared" si="0"/>
        <v>0</v>
      </c>
      <c r="T31" s="54">
        <f t="shared" si="1"/>
        <v>0</v>
      </c>
      <c r="U31" s="55" t="str">
        <f t="shared" si="2"/>
        <v>NE</v>
      </c>
    </row>
    <row r="32" spans="1:22" ht="17.850000000000001" customHeight="1">
      <c r="A32" s="112">
        <v>20</v>
      </c>
      <c r="B32" s="139" t="s">
        <v>243</v>
      </c>
      <c r="C32" s="139" t="s">
        <v>244</v>
      </c>
      <c r="D32" s="40"/>
      <c r="E32" s="40"/>
      <c r="F32" s="40"/>
      <c r="G32" s="40"/>
      <c r="H32" s="40"/>
      <c r="I32" s="41"/>
      <c r="J32" s="67"/>
      <c r="K32" s="67"/>
      <c r="L32" s="41"/>
      <c r="M32" s="41"/>
      <c r="N32" s="17"/>
      <c r="O32" s="17"/>
      <c r="P32" s="17"/>
      <c r="Q32" s="17"/>
      <c r="R32" s="17"/>
      <c r="S32" s="4">
        <f t="shared" si="0"/>
        <v>0</v>
      </c>
      <c r="T32" s="54">
        <f t="shared" si="1"/>
        <v>0</v>
      </c>
      <c r="U32" s="55" t="str">
        <f t="shared" si="2"/>
        <v>NE</v>
      </c>
    </row>
    <row r="33" spans="1:22" ht="17.850000000000001" customHeight="1">
      <c r="A33" s="112">
        <v>21</v>
      </c>
      <c r="B33" s="139" t="s">
        <v>245</v>
      </c>
      <c r="C33" s="139" t="s">
        <v>246</v>
      </c>
      <c r="D33" s="40"/>
      <c r="E33" s="40"/>
      <c r="F33" s="40"/>
      <c r="G33" s="40"/>
      <c r="H33" s="40"/>
      <c r="I33" s="41"/>
      <c r="J33" s="67"/>
      <c r="K33" s="67"/>
      <c r="L33" s="41"/>
      <c r="M33" s="41"/>
      <c r="N33" s="17"/>
      <c r="O33" s="17"/>
      <c r="P33" s="17"/>
      <c r="Q33" s="17"/>
      <c r="R33" s="17"/>
      <c r="S33" s="4">
        <f t="shared" si="0"/>
        <v>0</v>
      </c>
      <c r="T33" s="54">
        <f t="shared" si="1"/>
        <v>0</v>
      </c>
      <c r="U33" s="55" t="str">
        <f t="shared" si="2"/>
        <v>NE</v>
      </c>
    </row>
    <row r="34" spans="1:22" ht="17.850000000000001" customHeight="1">
      <c r="A34" s="112">
        <v>22</v>
      </c>
      <c r="B34" s="139" t="s">
        <v>247</v>
      </c>
      <c r="C34" s="139" t="s">
        <v>248</v>
      </c>
      <c r="D34" s="40"/>
      <c r="E34" s="40"/>
      <c r="F34" s="40"/>
      <c r="G34" s="40"/>
      <c r="H34" s="40"/>
      <c r="I34" s="41"/>
      <c r="J34" s="67"/>
      <c r="K34" s="67"/>
      <c r="L34" s="41"/>
      <c r="M34" s="41"/>
      <c r="N34" s="17"/>
      <c r="O34" s="17"/>
      <c r="P34" s="17"/>
      <c r="Q34" s="17"/>
      <c r="R34" s="17"/>
      <c r="S34" s="4">
        <f t="shared" si="0"/>
        <v>0</v>
      </c>
      <c r="T34" s="54">
        <f t="shared" si="1"/>
        <v>0</v>
      </c>
      <c r="U34" s="55" t="str">
        <f t="shared" si="2"/>
        <v>NE</v>
      </c>
    </row>
    <row r="35" spans="1:22" ht="17.850000000000001" customHeight="1">
      <c r="A35" s="112">
        <v>23</v>
      </c>
      <c r="B35" s="139" t="s">
        <v>249</v>
      </c>
      <c r="C35" s="139" t="s">
        <v>250</v>
      </c>
      <c r="D35" s="40"/>
      <c r="E35" s="40"/>
      <c r="F35" s="40"/>
      <c r="G35" s="40"/>
      <c r="H35" s="40"/>
      <c r="I35" s="41"/>
      <c r="J35" s="67"/>
      <c r="K35" s="67"/>
      <c r="L35" s="41"/>
      <c r="M35" s="41"/>
      <c r="N35" s="17"/>
      <c r="O35" s="17"/>
      <c r="P35" s="17"/>
      <c r="Q35" s="17"/>
      <c r="R35" s="17"/>
      <c r="S35" s="4">
        <f t="shared" si="0"/>
        <v>0</v>
      </c>
      <c r="T35" s="54">
        <f t="shared" si="1"/>
        <v>0</v>
      </c>
      <c r="U35" s="55" t="str">
        <f t="shared" si="2"/>
        <v>NE</v>
      </c>
    </row>
    <row r="36" spans="1:22" ht="17.850000000000001" customHeight="1">
      <c r="A36" s="112">
        <v>24</v>
      </c>
      <c r="B36" s="139" t="s">
        <v>251</v>
      </c>
      <c r="C36" s="139" t="s">
        <v>252</v>
      </c>
      <c r="D36" s="40"/>
      <c r="E36" s="40"/>
      <c r="F36" s="40"/>
      <c r="G36" s="40"/>
      <c r="H36" s="40"/>
      <c r="I36" s="41"/>
      <c r="J36" s="67"/>
      <c r="K36" s="67"/>
      <c r="L36" s="41"/>
      <c r="M36" s="41"/>
      <c r="N36" s="17"/>
      <c r="O36" s="17"/>
      <c r="P36" s="17"/>
      <c r="Q36" s="17"/>
      <c r="R36" s="17"/>
      <c r="S36" s="4">
        <f t="shared" si="0"/>
        <v>0</v>
      </c>
      <c r="T36" s="54">
        <f t="shared" si="1"/>
        <v>0</v>
      </c>
      <c r="U36" s="55" t="str">
        <f t="shared" si="2"/>
        <v>NE</v>
      </c>
    </row>
    <row r="37" spans="1:22" ht="17.850000000000001" customHeight="1">
      <c r="A37" s="112">
        <v>25</v>
      </c>
      <c r="B37" s="139" t="s">
        <v>253</v>
      </c>
      <c r="C37" s="139" t="s">
        <v>254</v>
      </c>
      <c r="D37" s="40"/>
      <c r="E37" s="40"/>
      <c r="F37" s="40"/>
      <c r="G37" s="40"/>
      <c r="H37" s="40"/>
      <c r="I37" s="41"/>
      <c r="J37" s="67"/>
      <c r="K37" s="67"/>
      <c r="L37" s="41"/>
      <c r="M37" s="41"/>
      <c r="N37" s="17"/>
      <c r="O37" s="17"/>
      <c r="P37" s="17"/>
      <c r="Q37" s="17"/>
      <c r="R37" s="17"/>
      <c r="S37" s="4">
        <f t="shared" si="0"/>
        <v>0</v>
      </c>
      <c r="T37" s="54">
        <f t="shared" si="1"/>
        <v>0</v>
      </c>
      <c r="U37" s="55" t="str">
        <f t="shared" si="2"/>
        <v>NE</v>
      </c>
      <c r="V37" s="56"/>
    </row>
    <row r="38" spans="1:22" ht="17.850000000000001" customHeight="1">
      <c r="A38" s="112">
        <v>26</v>
      </c>
      <c r="B38" s="139" t="s">
        <v>255</v>
      </c>
      <c r="C38" s="139" t="s">
        <v>256</v>
      </c>
      <c r="D38" s="40"/>
      <c r="E38" s="40"/>
      <c r="F38" s="40"/>
      <c r="G38" s="40"/>
      <c r="H38" s="40"/>
      <c r="I38" s="41"/>
      <c r="J38" s="67"/>
      <c r="K38" s="67"/>
      <c r="L38" s="41"/>
      <c r="M38" s="41"/>
      <c r="N38" s="17"/>
      <c r="O38" s="17"/>
      <c r="P38" s="17"/>
      <c r="Q38" s="17"/>
      <c r="R38" s="17"/>
      <c r="S38" s="4">
        <f t="shared" si="0"/>
        <v>0</v>
      </c>
      <c r="T38" s="54">
        <f t="shared" si="1"/>
        <v>0</v>
      </c>
      <c r="U38" s="55" t="str">
        <f t="shared" si="2"/>
        <v>NE</v>
      </c>
    </row>
    <row r="39" spans="1:22" ht="17.850000000000001" customHeight="1">
      <c r="A39" s="112">
        <v>27</v>
      </c>
      <c r="B39" s="139" t="s">
        <v>257</v>
      </c>
      <c r="C39" s="139" t="s">
        <v>258</v>
      </c>
      <c r="D39" s="40"/>
      <c r="E39" s="40"/>
      <c r="F39" s="40"/>
      <c r="G39" s="40"/>
      <c r="H39" s="40"/>
      <c r="I39" s="41"/>
      <c r="J39" s="67"/>
      <c r="K39" s="67"/>
      <c r="L39" s="41"/>
      <c r="M39" s="41"/>
      <c r="N39" s="17"/>
      <c r="O39" s="17"/>
      <c r="P39" s="17"/>
      <c r="Q39" s="17"/>
      <c r="R39" s="17"/>
      <c r="S39" s="4">
        <f t="shared" si="0"/>
        <v>0</v>
      </c>
      <c r="T39" s="54">
        <f t="shared" si="1"/>
        <v>0</v>
      </c>
      <c r="U39" s="55" t="str">
        <f t="shared" si="2"/>
        <v>NE</v>
      </c>
    </row>
    <row r="40" spans="1:22" ht="17.850000000000001" customHeight="1">
      <c r="A40" s="112">
        <v>28</v>
      </c>
      <c r="B40" s="139" t="s">
        <v>259</v>
      </c>
      <c r="C40" s="139" t="s">
        <v>260</v>
      </c>
      <c r="D40" s="40"/>
      <c r="E40" s="40"/>
      <c r="F40" s="40"/>
      <c r="G40" s="40"/>
      <c r="H40" s="40"/>
      <c r="I40" s="41"/>
      <c r="J40" s="67"/>
      <c r="K40" s="67"/>
      <c r="L40" s="41"/>
      <c r="M40" s="41"/>
      <c r="N40" s="17"/>
      <c r="O40" s="17"/>
      <c r="P40" s="17"/>
      <c r="Q40" s="17"/>
      <c r="R40" s="17"/>
      <c r="S40" s="4">
        <f t="shared" si="0"/>
        <v>0</v>
      </c>
      <c r="T40" s="54">
        <f t="shared" si="1"/>
        <v>0</v>
      </c>
      <c r="U40" s="55" t="str">
        <f t="shared" si="2"/>
        <v>NE</v>
      </c>
    </row>
    <row r="41" spans="1:22" ht="17.850000000000001" customHeight="1">
      <c r="A41" s="112">
        <v>29</v>
      </c>
      <c r="B41" s="139" t="s">
        <v>261</v>
      </c>
      <c r="C41" s="139" t="s">
        <v>262</v>
      </c>
      <c r="D41" s="40"/>
      <c r="E41" s="40"/>
      <c r="F41" s="40"/>
      <c r="G41" s="40"/>
      <c r="H41" s="40"/>
      <c r="I41" s="41"/>
      <c r="J41" s="67"/>
      <c r="K41" s="67"/>
      <c r="L41" s="41"/>
      <c r="M41" s="41"/>
      <c r="N41" s="17"/>
      <c r="O41" s="17"/>
      <c r="P41" s="17"/>
      <c r="Q41" s="17"/>
      <c r="R41" s="17"/>
      <c r="S41" s="4">
        <f t="shared" si="0"/>
        <v>0</v>
      </c>
      <c r="T41" s="54">
        <f t="shared" si="1"/>
        <v>0</v>
      </c>
      <c r="U41" s="55" t="str">
        <f t="shared" si="2"/>
        <v>NE</v>
      </c>
    </row>
    <row r="42" spans="1:22" ht="17.850000000000001" customHeight="1">
      <c r="A42" s="112">
        <v>30</v>
      </c>
      <c r="B42" s="139" t="s">
        <v>263</v>
      </c>
      <c r="C42" s="139" t="s">
        <v>264</v>
      </c>
      <c r="D42" s="40"/>
      <c r="E42" s="40"/>
      <c r="F42" s="40"/>
      <c r="G42" s="40"/>
      <c r="H42" s="40"/>
      <c r="I42" s="41"/>
      <c r="J42" s="67"/>
      <c r="K42" s="67"/>
      <c r="L42" s="41"/>
      <c r="M42" s="41"/>
      <c r="N42" s="17"/>
      <c r="O42" s="17"/>
      <c r="P42" s="17"/>
      <c r="Q42" s="17"/>
      <c r="R42" s="17"/>
      <c r="S42" s="4">
        <f t="shared" si="0"/>
        <v>0</v>
      </c>
      <c r="T42" s="54">
        <f t="shared" si="1"/>
        <v>0</v>
      </c>
      <c r="U42" s="55" t="str">
        <f t="shared" si="2"/>
        <v>NE</v>
      </c>
    </row>
    <row r="43" spans="1:22" ht="17.850000000000001" customHeight="1">
      <c r="A43" s="112">
        <v>31</v>
      </c>
      <c r="B43" s="139" t="s">
        <v>265</v>
      </c>
      <c r="C43" s="139" t="s">
        <v>266</v>
      </c>
      <c r="D43" s="40"/>
      <c r="E43" s="40"/>
      <c r="F43" s="40"/>
      <c r="G43" s="40"/>
      <c r="H43" s="40"/>
      <c r="I43" s="41"/>
      <c r="J43" s="67"/>
      <c r="K43" s="67"/>
      <c r="L43" s="41"/>
      <c r="M43" s="41"/>
      <c r="N43" s="17"/>
      <c r="O43" s="17"/>
      <c r="P43" s="17"/>
      <c r="Q43" s="17"/>
      <c r="R43" s="17"/>
      <c r="S43" s="4">
        <f t="shared" si="0"/>
        <v>0</v>
      </c>
      <c r="T43" s="54">
        <f t="shared" si="1"/>
        <v>0</v>
      </c>
      <c r="U43" s="55" t="str">
        <f t="shared" si="2"/>
        <v>NE</v>
      </c>
    </row>
    <row r="44" spans="1:22" ht="17.850000000000001" customHeight="1">
      <c r="A44" s="112">
        <v>32</v>
      </c>
      <c r="B44" s="139" t="s">
        <v>267</v>
      </c>
      <c r="C44" s="139" t="s">
        <v>268</v>
      </c>
      <c r="D44" s="40"/>
      <c r="E44" s="40"/>
      <c r="F44" s="40"/>
      <c r="G44" s="40"/>
      <c r="H44" s="40"/>
      <c r="I44" s="41"/>
      <c r="J44" s="67"/>
      <c r="K44" s="67"/>
      <c r="L44" s="41"/>
      <c r="M44" s="41"/>
      <c r="N44" s="17"/>
      <c r="O44" s="17"/>
      <c r="P44" s="17"/>
      <c r="Q44" s="17"/>
      <c r="R44" s="17"/>
      <c r="S44" s="4">
        <f t="shared" si="0"/>
        <v>0</v>
      </c>
      <c r="T44" s="54">
        <f t="shared" si="1"/>
        <v>0</v>
      </c>
      <c r="U44" s="55" t="str">
        <f t="shared" si="2"/>
        <v>NE</v>
      </c>
    </row>
    <row r="45" spans="1:22" ht="17.850000000000001" customHeight="1">
      <c r="A45" s="112">
        <v>33</v>
      </c>
      <c r="B45" s="139" t="s">
        <v>269</v>
      </c>
      <c r="C45" s="139" t="s">
        <v>270</v>
      </c>
      <c r="D45" s="40"/>
      <c r="E45" s="40"/>
      <c r="F45" s="40"/>
      <c r="G45" s="40"/>
      <c r="H45" s="40"/>
      <c r="I45" s="41"/>
      <c r="J45" s="67"/>
      <c r="K45" s="67"/>
      <c r="L45" s="41"/>
      <c r="M45" s="41"/>
      <c r="N45" s="17"/>
      <c r="O45" s="17"/>
      <c r="P45" s="17"/>
      <c r="Q45" s="17"/>
      <c r="R45" s="17"/>
      <c r="S45" s="4">
        <f t="shared" si="0"/>
        <v>0</v>
      </c>
      <c r="T45" s="54">
        <f t="shared" si="1"/>
        <v>0</v>
      </c>
      <c r="U45" s="55" t="str">
        <f t="shared" si="2"/>
        <v>NE</v>
      </c>
    </row>
    <row r="46" spans="1:22" ht="17.850000000000001" customHeight="1">
      <c r="A46" s="112">
        <v>34</v>
      </c>
      <c r="B46" s="139" t="s">
        <v>271</v>
      </c>
      <c r="C46" s="139" t="s">
        <v>272</v>
      </c>
      <c r="D46" s="40"/>
      <c r="E46" s="40"/>
      <c r="F46" s="40"/>
      <c r="G46" s="40"/>
      <c r="H46" s="40"/>
      <c r="I46" s="41"/>
      <c r="J46" s="67"/>
      <c r="K46" s="67"/>
      <c r="L46" s="41"/>
      <c r="M46" s="41"/>
      <c r="N46" s="17"/>
      <c r="O46" s="17"/>
      <c r="P46" s="17"/>
      <c r="Q46" s="17"/>
      <c r="R46" s="17"/>
      <c r="S46" s="4">
        <f t="shared" si="0"/>
        <v>0</v>
      </c>
      <c r="T46" s="54">
        <f t="shared" si="1"/>
        <v>0</v>
      </c>
      <c r="U46" s="55" t="str">
        <f t="shared" si="2"/>
        <v>NE</v>
      </c>
    </row>
    <row r="47" spans="1:22" ht="17.850000000000001" customHeight="1">
      <c r="A47" s="112">
        <v>35</v>
      </c>
      <c r="B47" s="139" t="s">
        <v>273</v>
      </c>
      <c r="C47" s="139" t="s">
        <v>274</v>
      </c>
      <c r="D47" s="40"/>
      <c r="E47" s="40"/>
      <c r="F47" s="40"/>
      <c r="G47" s="40"/>
      <c r="H47" s="40"/>
      <c r="I47" s="41"/>
      <c r="J47" s="67"/>
      <c r="K47" s="67"/>
      <c r="L47" s="41"/>
      <c r="M47" s="41"/>
      <c r="N47" s="17"/>
      <c r="O47" s="17"/>
      <c r="P47" s="17"/>
      <c r="Q47" s="17"/>
      <c r="R47" s="17"/>
      <c r="S47" s="4">
        <f t="shared" si="0"/>
        <v>0</v>
      </c>
      <c r="T47" s="54">
        <f t="shared" si="1"/>
        <v>0</v>
      </c>
      <c r="U47" s="55" t="str">
        <f t="shared" si="2"/>
        <v>NE</v>
      </c>
    </row>
    <row r="48" spans="1:22" ht="17.850000000000001" customHeight="1">
      <c r="A48" s="112">
        <v>36</v>
      </c>
      <c r="B48" s="139" t="s">
        <v>275</v>
      </c>
      <c r="C48" s="139" t="s">
        <v>276</v>
      </c>
      <c r="D48" s="40"/>
      <c r="E48" s="40"/>
      <c r="F48" s="40"/>
      <c r="G48" s="40"/>
      <c r="H48" s="40"/>
      <c r="I48" s="41"/>
      <c r="J48" s="67"/>
      <c r="K48" s="67"/>
      <c r="L48" s="41"/>
      <c r="M48" s="41"/>
      <c r="N48" s="17"/>
      <c r="O48" s="17"/>
      <c r="P48" s="17"/>
      <c r="Q48" s="17"/>
      <c r="R48" s="17"/>
      <c r="S48" s="4">
        <f t="shared" si="0"/>
        <v>0</v>
      </c>
      <c r="T48" s="54">
        <f t="shared" si="1"/>
        <v>0</v>
      </c>
      <c r="U48" s="55" t="str">
        <f t="shared" si="2"/>
        <v>NE</v>
      </c>
    </row>
    <row r="49" spans="1:24" ht="17.850000000000001" customHeight="1">
      <c r="A49" s="112">
        <v>37</v>
      </c>
      <c r="B49" s="139" t="s">
        <v>277</v>
      </c>
      <c r="C49" s="139" t="s">
        <v>278</v>
      </c>
      <c r="D49" s="40"/>
      <c r="E49" s="40"/>
      <c r="F49" s="40"/>
      <c r="G49" s="40"/>
      <c r="H49" s="40"/>
      <c r="I49" s="41"/>
      <c r="J49" s="67"/>
      <c r="K49" s="67"/>
      <c r="L49" s="41"/>
      <c r="M49" s="41"/>
      <c r="N49" s="17"/>
      <c r="O49" s="17"/>
      <c r="P49" s="17"/>
      <c r="Q49" s="17"/>
      <c r="R49" s="17"/>
      <c r="S49" s="4">
        <f t="shared" si="0"/>
        <v>0</v>
      </c>
      <c r="T49" s="54">
        <f t="shared" si="1"/>
        <v>0</v>
      </c>
      <c r="U49" s="55" t="str">
        <f t="shared" si="2"/>
        <v>NE</v>
      </c>
    </row>
    <row r="50" spans="1:24" ht="17.850000000000001" customHeight="1">
      <c r="A50" s="112">
        <v>38</v>
      </c>
      <c r="B50" s="139" t="s">
        <v>279</v>
      </c>
      <c r="C50" s="139" t="s">
        <v>280</v>
      </c>
      <c r="D50" s="40"/>
      <c r="E50" s="40"/>
      <c r="F50" s="40"/>
      <c r="G50" s="40"/>
      <c r="H50" s="40"/>
      <c r="I50" s="41"/>
      <c r="J50" s="67"/>
      <c r="K50" s="67"/>
      <c r="L50" s="41"/>
      <c r="M50" s="41"/>
      <c r="N50" s="17"/>
      <c r="O50" s="17"/>
      <c r="P50" s="17"/>
      <c r="Q50" s="17"/>
      <c r="R50" s="17"/>
      <c r="S50" s="4">
        <f t="shared" si="0"/>
        <v>0</v>
      </c>
      <c r="T50" s="54">
        <f t="shared" si="1"/>
        <v>0</v>
      </c>
      <c r="U50" s="55" t="str">
        <f t="shared" si="2"/>
        <v>NE</v>
      </c>
    </row>
    <row r="51" spans="1:24" ht="17.850000000000001" customHeight="1">
      <c r="A51" s="112">
        <v>39</v>
      </c>
      <c r="B51" s="139" t="s">
        <v>281</v>
      </c>
      <c r="C51" s="139" t="s">
        <v>282</v>
      </c>
      <c r="D51" s="40"/>
      <c r="E51" s="40"/>
      <c r="F51" s="40"/>
      <c r="G51" s="40"/>
      <c r="H51" s="40"/>
      <c r="I51" s="41"/>
      <c r="J51" s="67"/>
      <c r="K51" s="67"/>
      <c r="L51" s="41"/>
      <c r="M51" s="41"/>
      <c r="N51" s="17"/>
      <c r="O51" s="17"/>
      <c r="P51" s="17"/>
      <c r="Q51" s="17"/>
      <c r="R51" s="17"/>
      <c r="S51" s="4">
        <f t="shared" si="0"/>
        <v>0</v>
      </c>
      <c r="T51" s="54">
        <f t="shared" si="1"/>
        <v>0</v>
      </c>
      <c r="U51" s="55" t="str">
        <f t="shared" si="2"/>
        <v>NE</v>
      </c>
    </row>
    <row r="52" spans="1:24" ht="17.850000000000001" customHeight="1">
      <c r="A52" s="112">
        <v>40</v>
      </c>
      <c r="B52" s="139" t="s">
        <v>283</v>
      </c>
      <c r="C52" s="139" t="s">
        <v>284</v>
      </c>
      <c r="D52" s="40"/>
      <c r="E52" s="40"/>
      <c r="F52" s="40"/>
      <c r="G52" s="40"/>
      <c r="H52" s="40"/>
      <c r="I52" s="41"/>
      <c r="J52" s="67"/>
      <c r="K52" s="67"/>
      <c r="L52" s="41"/>
      <c r="M52" s="41"/>
      <c r="N52" s="17"/>
      <c r="O52" s="17"/>
      <c r="P52" s="17"/>
      <c r="Q52" s="17"/>
      <c r="R52" s="17"/>
      <c r="S52" s="4">
        <f t="shared" si="0"/>
        <v>0</v>
      </c>
      <c r="T52" s="54">
        <f t="shared" si="1"/>
        <v>0</v>
      </c>
      <c r="U52" s="55" t="str">
        <f t="shared" si="2"/>
        <v>NE</v>
      </c>
    </row>
    <row r="53" spans="1:24" ht="17.850000000000001" customHeight="1">
      <c r="A53" s="112">
        <v>41</v>
      </c>
      <c r="B53" s="139" t="s">
        <v>285</v>
      </c>
      <c r="C53" s="139" t="s">
        <v>286</v>
      </c>
      <c r="D53" s="40"/>
      <c r="E53" s="40"/>
      <c r="F53" s="40"/>
      <c r="G53" s="40"/>
      <c r="H53" s="40"/>
      <c r="I53" s="41"/>
      <c r="J53" s="67"/>
      <c r="K53" s="67"/>
      <c r="L53" s="41"/>
      <c r="M53" s="41"/>
      <c r="N53" s="17"/>
      <c r="O53" s="17"/>
      <c r="P53" s="17"/>
      <c r="Q53" s="17"/>
      <c r="R53" s="17"/>
      <c r="S53" s="4">
        <f t="shared" si="0"/>
        <v>0</v>
      </c>
      <c r="T53" s="54">
        <f t="shared" si="1"/>
        <v>0</v>
      </c>
      <c r="U53" s="55" t="str">
        <f t="shared" si="2"/>
        <v>NE</v>
      </c>
    </row>
    <row r="54" spans="1:24" ht="17.850000000000001" customHeight="1">
      <c r="A54" s="112">
        <v>42</v>
      </c>
      <c r="B54" s="139" t="s">
        <v>287</v>
      </c>
      <c r="C54" s="139" t="s">
        <v>288</v>
      </c>
      <c r="D54" s="40"/>
      <c r="E54" s="40"/>
      <c r="F54" s="40"/>
      <c r="G54" s="40"/>
      <c r="H54" s="40"/>
      <c r="I54" s="41"/>
      <c r="J54" s="67"/>
      <c r="K54" s="67"/>
      <c r="L54" s="41"/>
      <c r="M54" s="41"/>
      <c r="N54" s="17"/>
      <c r="O54" s="17"/>
      <c r="P54" s="17"/>
      <c r="Q54" s="17"/>
      <c r="R54" s="17"/>
      <c r="S54" s="4">
        <f t="shared" si="0"/>
        <v>0</v>
      </c>
      <c r="T54" s="54">
        <f t="shared" si="1"/>
        <v>0</v>
      </c>
      <c r="U54" s="55" t="str">
        <f t="shared" si="2"/>
        <v>NE</v>
      </c>
    </row>
    <row r="55" spans="1:24" ht="17.850000000000001" customHeight="1">
      <c r="A55" s="112">
        <v>43</v>
      </c>
      <c r="B55" s="139" t="s">
        <v>289</v>
      </c>
      <c r="C55" s="139" t="s">
        <v>290</v>
      </c>
      <c r="D55" s="40"/>
      <c r="E55" s="40"/>
      <c r="F55" s="40"/>
      <c r="G55" s="40"/>
      <c r="H55" s="40"/>
      <c r="I55" s="41"/>
      <c r="J55" s="67"/>
      <c r="K55" s="67"/>
      <c r="L55" s="41"/>
      <c r="M55" s="41"/>
      <c r="N55" s="17"/>
      <c r="O55" s="17"/>
      <c r="P55" s="17"/>
      <c r="Q55" s="17"/>
      <c r="R55" s="17"/>
      <c r="S55" s="4">
        <f t="shared" si="0"/>
        <v>0</v>
      </c>
      <c r="T55" s="54">
        <f t="shared" si="1"/>
        <v>0</v>
      </c>
      <c r="U55" s="55" t="str">
        <f t="shared" si="2"/>
        <v>NE</v>
      </c>
    </row>
    <row r="56" spans="1:24" ht="17.850000000000001" customHeight="1">
      <c r="A56" s="112">
        <v>44</v>
      </c>
      <c r="B56" s="139" t="s">
        <v>291</v>
      </c>
      <c r="C56" s="139" t="s">
        <v>292</v>
      </c>
      <c r="D56" s="40"/>
      <c r="E56" s="40"/>
      <c r="F56" s="40"/>
      <c r="G56" s="40"/>
      <c r="H56" s="40"/>
      <c r="I56" s="41"/>
      <c r="J56" s="67"/>
      <c r="K56" s="67"/>
      <c r="L56" s="41"/>
      <c r="M56" s="41"/>
      <c r="N56" s="17"/>
      <c r="O56" s="17"/>
      <c r="P56" s="17"/>
      <c r="Q56" s="17"/>
      <c r="R56" s="17"/>
      <c r="S56" s="4">
        <f t="shared" si="0"/>
        <v>0</v>
      </c>
      <c r="T56" s="54">
        <f t="shared" si="1"/>
        <v>0</v>
      </c>
      <c r="U56" s="55" t="str">
        <f t="shared" si="2"/>
        <v>NE</v>
      </c>
    </row>
    <row r="57" spans="1:24" ht="17.850000000000001" customHeight="1">
      <c r="A57" s="112">
        <v>45</v>
      </c>
      <c r="B57" s="139" t="s">
        <v>293</v>
      </c>
      <c r="C57" s="139" t="s">
        <v>294</v>
      </c>
      <c r="D57" s="40"/>
      <c r="E57" s="40"/>
      <c r="F57" s="40"/>
      <c r="G57" s="40"/>
      <c r="H57" s="40"/>
      <c r="I57" s="41"/>
      <c r="J57" s="67"/>
      <c r="K57" s="67"/>
      <c r="L57" s="41"/>
      <c r="M57" s="41"/>
      <c r="N57" s="17"/>
      <c r="O57" s="17"/>
      <c r="P57" s="17"/>
      <c r="Q57" s="17"/>
      <c r="R57" s="17"/>
      <c r="S57" s="4">
        <f t="shared" si="0"/>
        <v>0</v>
      </c>
      <c r="T57" s="54">
        <f t="shared" si="1"/>
        <v>0</v>
      </c>
      <c r="U57" s="55" t="str">
        <f t="shared" si="2"/>
        <v>NE</v>
      </c>
    </row>
    <row r="58" spans="1:24" ht="17.850000000000001" customHeight="1">
      <c r="A58" s="112">
        <v>46</v>
      </c>
      <c r="B58" s="139" t="s">
        <v>295</v>
      </c>
      <c r="C58" s="139" t="s">
        <v>296</v>
      </c>
      <c r="D58" s="40"/>
      <c r="E58" s="40"/>
      <c r="F58" s="40"/>
      <c r="G58" s="40"/>
      <c r="H58" s="40"/>
      <c r="I58" s="41"/>
      <c r="J58" s="67"/>
      <c r="K58" s="67"/>
      <c r="L58" s="41"/>
      <c r="M58" s="41"/>
      <c r="N58" s="17"/>
      <c r="O58" s="17"/>
      <c r="P58" s="17"/>
      <c r="Q58" s="17"/>
      <c r="R58" s="17"/>
      <c r="S58" s="4">
        <f t="shared" si="0"/>
        <v>0</v>
      </c>
      <c r="T58" s="54">
        <f t="shared" si="1"/>
        <v>0</v>
      </c>
      <c r="U58" s="55" t="str">
        <f t="shared" si="2"/>
        <v>NE</v>
      </c>
    </row>
    <row r="59" spans="1:24" ht="17.850000000000001" customHeight="1">
      <c r="A59" s="112">
        <v>47</v>
      </c>
      <c r="B59" s="139" t="s">
        <v>297</v>
      </c>
      <c r="C59" s="139" t="s">
        <v>298</v>
      </c>
      <c r="D59" s="40"/>
      <c r="E59" s="40"/>
      <c r="F59" s="40"/>
      <c r="G59" s="40"/>
      <c r="H59" s="40"/>
      <c r="I59" s="41"/>
      <c r="J59" s="67"/>
      <c r="K59" s="67"/>
      <c r="L59" s="41"/>
      <c r="M59" s="41"/>
      <c r="N59" s="17"/>
      <c r="O59" s="17"/>
      <c r="P59" s="17"/>
      <c r="Q59" s="17"/>
      <c r="R59" s="17"/>
      <c r="S59" s="4">
        <f t="shared" si="0"/>
        <v>0</v>
      </c>
      <c r="T59" s="54">
        <f t="shared" si="1"/>
        <v>0</v>
      </c>
      <c r="U59" s="55" t="str">
        <f t="shared" si="2"/>
        <v>NE</v>
      </c>
    </row>
    <row r="60" spans="1:24" ht="17.850000000000001" customHeight="1">
      <c r="A60" s="112">
        <v>48</v>
      </c>
      <c r="B60" s="127" t="s">
        <v>299</v>
      </c>
      <c r="C60" s="126" t="s">
        <v>300</v>
      </c>
      <c r="D60" s="40"/>
      <c r="E60" s="40"/>
      <c r="F60" s="40"/>
      <c r="G60" s="40"/>
      <c r="H60" s="40"/>
      <c r="I60" s="41"/>
      <c r="J60" s="67"/>
      <c r="K60" s="67"/>
      <c r="L60" s="41"/>
      <c r="M60" s="41"/>
      <c r="N60" s="17"/>
      <c r="O60" s="17"/>
      <c r="P60" s="17"/>
      <c r="Q60" s="17"/>
      <c r="R60" s="17"/>
      <c r="S60" s="4">
        <f t="shared" si="0"/>
        <v>0</v>
      </c>
      <c r="T60" s="54">
        <f t="shared" si="1"/>
        <v>0</v>
      </c>
      <c r="U60" s="55" t="str">
        <f t="shared" si="2"/>
        <v>NE</v>
      </c>
    </row>
    <row r="61" spans="1:24" ht="17.850000000000001" customHeight="1">
      <c r="A61" s="112">
        <v>49</v>
      </c>
      <c r="B61" s="139" t="s">
        <v>301</v>
      </c>
      <c r="C61" s="139" t="s">
        <v>302</v>
      </c>
      <c r="D61" s="40"/>
      <c r="E61" s="40"/>
      <c r="F61" s="40"/>
      <c r="G61" s="40"/>
      <c r="H61" s="40"/>
      <c r="I61" s="41"/>
      <c r="J61" s="67"/>
      <c r="K61" s="67"/>
      <c r="L61" s="41"/>
      <c r="M61" s="41"/>
      <c r="N61" s="17"/>
      <c r="O61" s="17"/>
      <c r="P61" s="17"/>
      <c r="Q61" s="17"/>
      <c r="R61" s="17"/>
      <c r="S61" s="4">
        <f t="shared" si="0"/>
        <v>0</v>
      </c>
      <c r="T61" s="54">
        <f t="shared" si="1"/>
        <v>0</v>
      </c>
      <c r="U61" s="55" t="str">
        <f t="shared" si="2"/>
        <v>NE</v>
      </c>
    </row>
    <row r="62" spans="1:24" ht="17.850000000000001" customHeight="1">
      <c r="A62" s="112">
        <v>50</v>
      </c>
      <c r="B62" s="139" t="s">
        <v>303</v>
      </c>
      <c r="C62" s="139" t="s">
        <v>304</v>
      </c>
      <c r="D62" s="40"/>
      <c r="E62" s="40"/>
      <c r="F62" s="40"/>
      <c r="G62" s="40"/>
      <c r="H62" s="40"/>
      <c r="I62" s="41"/>
      <c r="J62" s="67"/>
      <c r="K62" s="67"/>
      <c r="L62" s="41"/>
      <c r="M62" s="41"/>
      <c r="N62" s="17"/>
      <c r="O62" s="17"/>
      <c r="P62" s="17"/>
      <c r="Q62" s="17"/>
      <c r="R62" s="17"/>
      <c r="S62" s="4">
        <f t="shared" si="0"/>
        <v>0</v>
      </c>
      <c r="T62" s="54">
        <f t="shared" si="1"/>
        <v>0</v>
      </c>
      <c r="U62" s="55" t="str">
        <f t="shared" si="2"/>
        <v>NE</v>
      </c>
      <c r="W62" s="69"/>
      <c r="X62" s="71"/>
    </row>
    <row r="63" spans="1:24" ht="17.850000000000001" customHeight="1">
      <c r="A63" s="112">
        <v>51</v>
      </c>
      <c r="B63" s="139" t="s">
        <v>305</v>
      </c>
      <c r="C63" s="139" t="s">
        <v>306</v>
      </c>
      <c r="D63" s="40"/>
      <c r="E63" s="40"/>
      <c r="F63" s="40"/>
      <c r="G63" s="40"/>
      <c r="H63" s="40"/>
      <c r="I63" s="41"/>
      <c r="J63" s="67"/>
      <c r="K63" s="67"/>
      <c r="L63" s="41"/>
      <c r="M63" s="41"/>
      <c r="N63" s="17"/>
      <c r="O63" s="17"/>
      <c r="P63" s="17"/>
      <c r="Q63" s="17"/>
      <c r="R63" s="17"/>
      <c r="S63" s="4">
        <f t="shared" si="0"/>
        <v>0</v>
      </c>
      <c r="T63" s="54">
        <f t="shared" si="1"/>
        <v>0</v>
      </c>
      <c r="U63" s="55" t="str">
        <f t="shared" si="2"/>
        <v>NE</v>
      </c>
    </row>
    <row r="64" spans="1:24" ht="17.850000000000001" customHeight="1">
      <c r="A64" s="112">
        <v>52</v>
      </c>
      <c r="B64" s="127" t="s">
        <v>307</v>
      </c>
      <c r="C64" s="126" t="s">
        <v>308</v>
      </c>
      <c r="D64" s="40"/>
      <c r="E64" s="40"/>
      <c r="F64" s="40"/>
      <c r="G64" s="40"/>
      <c r="H64" s="40"/>
      <c r="I64" s="41"/>
      <c r="J64" s="67"/>
      <c r="K64" s="67"/>
      <c r="L64" s="41"/>
      <c r="M64" s="41"/>
      <c r="N64" s="17"/>
      <c r="O64" s="17"/>
      <c r="P64" s="17"/>
      <c r="Q64" s="17"/>
      <c r="R64" s="17"/>
      <c r="S64" s="4">
        <f t="shared" si="0"/>
        <v>0</v>
      </c>
      <c r="T64" s="54">
        <f t="shared" si="1"/>
        <v>0</v>
      </c>
      <c r="U64" s="55" t="str">
        <f t="shared" si="2"/>
        <v>NE</v>
      </c>
    </row>
    <row r="65" spans="1:21" ht="17.850000000000001" customHeight="1">
      <c r="A65" s="112">
        <v>53</v>
      </c>
      <c r="B65" s="139" t="s">
        <v>309</v>
      </c>
      <c r="C65" s="139" t="s">
        <v>310</v>
      </c>
      <c r="D65" s="40"/>
      <c r="E65" s="40"/>
      <c r="F65" s="40"/>
      <c r="G65" s="40"/>
      <c r="H65" s="40"/>
      <c r="I65" s="41"/>
      <c r="J65" s="67"/>
      <c r="K65" s="67"/>
      <c r="L65" s="41"/>
      <c r="M65" s="41"/>
      <c r="N65" s="17"/>
      <c r="O65" s="17"/>
      <c r="P65" s="17"/>
      <c r="Q65" s="17"/>
      <c r="R65" s="17"/>
      <c r="S65" s="4">
        <f t="shared" si="0"/>
        <v>0</v>
      </c>
      <c r="T65" s="54">
        <f t="shared" si="1"/>
        <v>0</v>
      </c>
      <c r="U65" s="55" t="str">
        <f t="shared" si="2"/>
        <v>NE</v>
      </c>
    </row>
    <row r="66" spans="1:21" ht="17.850000000000001" customHeight="1">
      <c r="A66" s="112">
        <v>54</v>
      </c>
      <c r="B66" s="139" t="s">
        <v>311</v>
      </c>
      <c r="C66" s="139" t="s">
        <v>312</v>
      </c>
      <c r="D66" s="40"/>
      <c r="E66" s="40"/>
      <c r="F66" s="40"/>
      <c r="G66" s="40"/>
      <c r="H66" s="40"/>
      <c r="I66" s="41"/>
      <c r="J66" s="67"/>
      <c r="K66" s="67"/>
      <c r="L66" s="41"/>
      <c r="M66" s="41"/>
      <c r="N66" s="17"/>
      <c r="O66" s="17"/>
      <c r="P66" s="17"/>
      <c r="Q66" s="17"/>
      <c r="R66" s="17"/>
      <c r="S66" s="4">
        <f t="shared" si="0"/>
        <v>0</v>
      </c>
      <c r="T66" s="54">
        <f t="shared" si="1"/>
        <v>0</v>
      </c>
      <c r="U66" s="55" t="str">
        <f t="shared" si="2"/>
        <v>NE</v>
      </c>
    </row>
    <row r="67" spans="1:21" ht="17.850000000000001" customHeight="1">
      <c r="A67" s="112">
        <v>55</v>
      </c>
      <c r="B67" s="139" t="s">
        <v>313</v>
      </c>
      <c r="C67" s="139" t="s">
        <v>314</v>
      </c>
      <c r="D67" s="40"/>
      <c r="E67" s="40"/>
      <c r="F67" s="40"/>
      <c r="G67" s="40"/>
      <c r="H67" s="40"/>
      <c r="I67" s="41"/>
      <c r="J67" s="67"/>
      <c r="K67" s="67"/>
      <c r="L67" s="41"/>
      <c r="M67" s="41"/>
      <c r="N67" s="17"/>
      <c r="O67" s="17"/>
      <c r="P67" s="17"/>
      <c r="Q67" s="17"/>
      <c r="R67" s="17"/>
      <c r="S67" s="4">
        <f t="shared" si="0"/>
        <v>0</v>
      </c>
      <c r="T67" s="54">
        <f t="shared" si="1"/>
        <v>0</v>
      </c>
      <c r="U67" s="55" t="str">
        <f t="shared" si="2"/>
        <v>NE</v>
      </c>
    </row>
    <row r="68" spans="1:21" ht="17.850000000000001" customHeight="1">
      <c r="A68" s="112">
        <v>56</v>
      </c>
      <c r="B68" s="139" t="s">
        <v>315</v>
      </c>
      <c r="C68" s="139" t="s">
        <v>316</v>
      </c>
      <c r="D68" s="40"/>
      <c r="E68" s="40"/>
      <c r="F68" s="40"/>
      <c r="G68" s="40"/>
      <c r="H68" s="40"/>
      <c r="I68" s="41"/>
      <c r="J68" s="67"/>
      <c r="K68" s="67"/>
      <c r="L68" s="41"/>
      <c r="M68" s="41"/>
      <c r="N68" s="40"/>
      <c r="O68" s="40"/>
      <c r="P68" s="40"/>
      <c r="Q68" s="40"/>
      <c r="R68" s="40"/>
      <c r="S68" s="4">
        <f t="shared" si="0"/>
        <v>0</v>
      </c>
      <c r="T68" s="54">
        <f t="shared" si="1"/>
        <v>0</v>
      </c>
      <c r="U68" s="55" t="str">
        <f t="shared" si="2"/>
        <v>NE</v>
      </c>
    </row>
    <row r="69" spans="1:21" ht="17.850000000000001" customHeight="1">
      <c r="A69" s="112">
        <v>57</v>
      </c>
      <c r="B69" s="139" t="s">
        <v>317</v>
      </c>
      <c r="C69" s="139" t="s">
        <v>318</v>
      </c>
      <c r="D69" s="40"/>
      <c r="E69" s="40"/>
      <c r="F69" s="40"/>
      <c r="G69" s="40"/>
      <c r="H69" s="40"/>
      <c r="I69" s="41"/>
      <c r="J69" s="67"/>
      <c r="K69" s="67"/>
      <c r="L69" s="41"/>
      <c r="M69" s="41"/>
      <c r="N69" s="17"/>
      <c r="O69" s="17"/>
      <c r="P69" s="17"/>
      <c r="Q69" s="17"/>
      <c r="R69" s="17"/>
      <c r="S69" s="4">
        <f t="shared" si="0"/>
        <v>0</v>
      </c>
      <c r="T69" s="54">
        <f t="shared" si="1"/>
        <v>0</v>
      </c>
      <c r="U69" s="55" t="str">
        <f t="shared" si="2"/>
        <v>NE</v>
      </c>
    </row>
    <row r="70" spans="1:21" ht="17.850000000000001" customHeight="1">
      <c r="A70" s="112">
        <v>58</v>
      </c>
      <c r="B70" s="139" t="s">
        <v>319</v>
      </c>
      <c r="C70" s="139" t="s">
        <v>320</v>
      </c>
      <c r="D70" s="40"/>
      <c r="E70" s="40"/>
      <c r="F70" s="40"/>
      <c r="G70" s="40"/>
      <c r="H70" s="40"/>
      <c r="I70" s="41"/>
      <c r="J70" s="67"/>
      <c r="K70" s="67"/>
      <c r="L70" s="41"/>
      <c r="M70" s="41"/>
      <c r="N70" s="40"/>
      <c r="O70" s="40"/>
      <c r="P70" s="40"/>
      <c r="Q70" s="40"/>
      <c r="R70" s="40"/>
      <c r="S70" s="4">
        <f t="shared" si="0"/>
        <v>0</v>
      </c>
      <c r="T70" s="54">
        <f t="shared" si="1"/>
        <v>0</v>
      </c>
      <c r="U70" s="55" t="str">
        <f t="shared" si="2"/>
        <v>NE</v>
      </c>
    </row>
    <row r="71" spans="1:21" ht="17.850000000000001" customHeight="1">
      <c r="A71" s="112">
        <v>59</v>
      </c>
      <c r="B71" s="139" t="s">
        <v>321</v>
      </c>
      <c r="C71" s="139" t="s">
        <v>322</v>
      </c>
      <c r="D71" s="40"/>
      <c r="E71" s="40"/>
      <c r="F71" s="40"/>
      <c r="G71" s="40"/>
      <c r="H71" s="40"/>
      <c r="I71" s="41"/>
      <c r="J71" s="67"/>
      <c r="K71" s="67"/>
      <c r="L71" s="41"/>
      <c r="M71" s="41"/>
      <c r="N71" s="40"/>
      <c r="O71" s="40"/>
      <c r="P71" s="40"/>
      <c r="Q71" s="40"/>
      <c r="R71" s="40"/>
      <c r="S71" s="4">
        <f t="shared" si="0"/>
        <v>0</v>
      </c>
      <c r="T71" s="54">
        <f t="shared" si="1"/>
        <v>0</v>
      </c>
      <c r="U71" s="55" t="str">
        <f t="shared" si="2"/>
        <v>NE</v>
      </c>
    </row>
    <row r="72" spans="1:21" ht="17.850000000000001" customHeight="1">
      <c r="A72" s="112">
        <v>60</v>
      </c>
      <c r="B72" s="139" t="s">
        <v>323</v>
      </c>
      <c r="C72" s="139" t="s">
        <v>324</v>
      </c>
      <c r="D72" s="40"/>
      <c r="E72" s="40"/>
      <c r="F72" s="40"/>
      <c r="G72" s="40"/>
      <c r="H72" s="40"/>
      <c r="I72" s="41"/>
      <c r="J72" s="67"/>
      <c r="K72" s="67"/>
      <c r="L72" s="41"/>
      <c r="M72" s="41"/>
      <c r="N72" s="40"/>
      <c r="O72" s="40"/>
      <c r="P72" s="40"/>
      <c r="Q72" s="40"/>
      <c r="R72" s="40"/>
      <c r="S72" s="4">
        <f t="shared" si="0"/>
        <v>0</v>
      </c>
      <c r="T72" s="54">
        <f t="shared" si="1"/>
        <v>0</v>
      </c>
      <c r="U72" s="55" t="str">
        <f t="shared" si="2"/>
        <v>NE</v>
      </c>
    </row>
    <row r="73" spans="1:21" ht="17.850000000000001" customHeight="1">
      <c r="A73" s="112">
        <v>61</v>
      </c>
      <c r="B73" s="139" t="s">
        <v>325</v>
      </c>
      <c r="C73" s="139" t="s">
        <v>326</v>
      </c>
      <c r="D73" s="40"/>
      <c r="E73" s="40"/>
      <c r="F73" s="40"/>
      <c r="G73" s="40"/>
      <c r="H73" s="40"/>
      <c r="I73" s="41"/>
      <c r="J73" s="67"/>
      <c r="K73" s="67"/>
      <c r="L73" s="41"/>
      <c r="M73" s="41"/>
      <c r="N73" s="40"/>
      <c r="O73" s="40"/>
      <c r="P73" s="40"/>
      <c r="Q73" s="40"/>
      <c r="R73" s="40"/>
      <c r="S73" s="4">
        <f t="shared" si="0"/>
        <v>0</v>
      </c>
      <c r="T73" s="54">
        <f t="shared" si="1"/>
        <v>0</v>
      </c>
      <c r="U73" s="55" t="str">
        <f t="shared" si="2"/>
        <v>NE</v>
      </c>
    </row>
    <row r="74" spans="1:21" ht="17.850000000000001" customHeight="1">
      <c r="A74" s="112">
        <v>62</v>
      </c>
      <c r="B74" s="139" t="s">
        <v>327</v>
      </c>
      <c r="C74" s="139" t="s">
        <v>328</v>
      </c>
      <c r="D74" s="40"/>
      <c r="E74" s="40"/>
      <c r="F74" s="40"/>
      <c r="G74" s="40"/>
      <c r="H74" s="40"/>
      <c r="I74" s="41"/>
      <c r="J74" s="67"/>
      <c r="K74" s="67"/>
      <c r="L74" s="41"/>
      <c r="M74" s="41"/>
      <c r="N74" s="40"/>
      <c r="O74" s="40"/>
      <c r="P74" s="40"/>
      <c r="Q74" s="40"/>
      <c r="R74" s="40"/>
      <c r="S74" s="4">
        <f t="shared" si="0"/>
        <v>0</v>
      </c>
      <c r="T74" s="54">
        <f t="shared" si="1"/>
        <v>0</v>
      </c>
      <c r="U74" s="55" t="str">
        <f t="shared" si="2"/>
        <v>NE</v>
      </c>
    </row>
    <row r="75" spans="1:21" ht="17.850000000000001" customHeight="1">
      <c r="A75" s="112">
        <v>63</v>
      </c>
      <c r="B75" s="139" t="s">
        <v>329</v>
      </c>
      <c r="C75" s="139" t="s">
        <v>330</v>
      </c>
      <c r="D75" s="40"/>
      <c r="E75" s="40"/>
      <c r="F75" s="40"/>
      <c r="G75" s="40"/>
      <c r="H75" s="40"/>
      <c r="I75" s="41"/>
      <c r="J75" s="67"/>
      <c r="K75" s="67"/>
      <c r="L75" s="41"/>
      <c r="M75" s="41"/>
      <c r="N75" s="40"/>
      <c r="O75" s="40"/>
      <c r="P75" s="40"/>
      <c r="Q75" s="40"/>
      <c r="R75" s="40"/>
      <c r="S75" s="4">
        <f t="shared" si="0"/>
        <v>0</v>
      </c>
      <c r="T75" s="54">
        <f t="shared" si="1"/>
        <v>0</v>
      </c>
      <c r="U75" s="55" t="str">
        <f t="shared" si="2"/>
        <v>NE</v>
      </c>
    </row>
    <row r="76" spans="1:21" ht="17.850000000000001" customHeight="1">
      <c r="A76" s="112">
        <v>64</v>
      </c>
      <c r="B76" s="139" t="s">
        <v>331</v>
      </c>
      <c r="C76" s="139" t="s">
        <v>332</v>
      </c>
      <c r="D76" s="40"/>
      <c r="E76" s="40"/>
      <c r="F76" s="40"/>
      <c r="G76" s="40"/>
      <c r="H76" s="40"/>
      <c r="I76" s="41"/>
      <c r="J76" s="67"/>
      <c r="K76" s="67"/>
      <c r="L76" s="41"/>
      <c r="M76" s="41"/>
      <c r="N76" s="40"/>
      <c r="O76" s="40"/>
      <c r="P76" s="40"/>
      <c r="Q76" s="40"/>
      <c r="R76" s="40"/>
      <c r="S76" s="4">
        <f t="shared" si="0"/>
        <v>0</v>
      </c>
      <c r="T76" s="54">
        <f t="shared" si="1"/>
        <v>0</v>
      </c>
      <c r="U76" s="55" t="str">
        <f t="shared" si="2"/>
        <v>NE</v>
      </c>
    </row>
    <row r="77" spans="1:21" ht="17.850000000000001" customHeight="1">
      <c r="A77" s="112">
        <v>65</v>
      </c>
      <c r="B77" s="139" t="s">
        <v>333</v>
      </c>
      <c r="C77" s="139" t="s">
        <v>334</v>
      </c>
      <c r="D77" s="40"/>
      <c r="E77" s="40"/>
      <c r="F77" s="40"/>
      <c r="G77" s="40"/>
      <c r="H77" s="40"/>
      <c r="I77" s="41"/>
      <c r="J77" s="67"/>
      <c r="K77" s="67"/>
      <c r="L77" s="41"/>
      <c r="M77" s="41"/>
      <c r="N77" s="40"/>
      <c r="O77" s="40"/>
      <c r="P77" s="40"/>
      <c r="Q77" s="40"/>
      <c r="R77" s="40"/>
      <c r="S77" s="4">
        <f t="shared" si="0"/>
        <v>0</v>
      </c>
      <c r="T77" s="54">
        <f t="shared" si="1"/>
        <v>0</v>
      </c>
      <c r="U77" s="55" t="str">
        <f t="shared" si="2"/>
        <v>NE</v>
      </c>
    </row>
    <row r="78" spans="1:21" ht="17.850000000000001" customHeight="1">
      <c r="A78" s="112">
        <v>66</v>
      </c>
      <c r="B78" s="139" t="s">
        <v>335</v>
      </c>
      <c r="C78" s="139" t="s">
        <v>336</v>
      </c>
      <c r="D78" s="40"/>
      <c r="E78" s="40"/>
      <c r="F78" s="40"/>
      <c r="G78" s="40"/>
      <c r="H78" s="40"/>
      <c r="I78" s="41"/>
      <c r="J78" s="67"/>
      <c r="K78" s="67"/>
      <c r="L78" s="41"/>
      <c r="M78" s="41"/>
      <c r="N78" s="40"/>
      <c r="O78" s="40"/>
      <c r="P78" s="40"/>
      <c r="Q78" s="40"/>
      <c r="R78" s="40"/>
      <c r="S78" s="4">
        <f t="shared" ref="S78:S97" si="3">COUNTIF(D78:R78,"P")</f>
        <v>0</v>
      </c>
      <c r="T78" s="54">
        <f t="shared" ref="T78:T97" si="4">ROUND(SUM(S78/15*100),0)</f>
        <v>0</v>
      </c>
      <c r="U78" s="55" t="str">
        <f t="shared" ref="U78:U97" si="5">IF(T78&gt;=75,"EG",IF(T78&gt;=65,"CN","NE"))</f>
        <v>NE</v>
      </c>
    </row>
    <row r="79" spans="1:21" ht="17.850000000000001" customHeight="1">
      <c r="A79" s="112">
        <v>67</v>
      </c>
      <c r="B79" s="139" t="s">
        <v>337</v>
      </c>
      <c r="C79" s="139" t="s">
        <v>338</v>
      </c>
      <c r="D79" s="40"/>
      <c r="E79" s="40"/>
      <c r="F79" s="40"/>
      <c r="G79" s="40"/>
      <c r="H79" s="40"/>
      <c r="I79" s="41"/>
      <c r="J79" s="67"/>
      <c r="K79" s="67"/>
      <c r="L79" s="41"/>
      <c r="M79" s="41"/>
      <c r="N79" s="40"/>
      <c r="O79" s="40"/>
      <c r="P79" s="40"/>
      <c r="Q79" s="40"/>
      <c r="R79" s="40"/>
      <c r="S79" s="4">
        <f t="shared" si="3"/>
        <v>0</v>
      </c>
      <c r="T79" s="54">
        <f t="shared" si="4"/>
        <v>0</v>
      </c>
      <c r="U79" s="55" t="str">
        <f t="shared" si="5"/>
        <v>NE</v>
      </c>
    </row>
    <row r="80" spans="1:21" ht="17.850000000000001" customHeight="1">
      <c r="A80" s="112">
        <v>68</v>
      </c>
      <c r="B80" s="139" t="s">
        <v>339</v>
      </c>
      <c r="C80" s="139" t="s">
        <v>340</v>
      </c>
      <c r="D80" s="40"/>
      <c r="E80" s="40"/>
      <c r="F80" s="40"/>
      <c r="G80" s="40"/>
      <c r="H80" s="40"/>
      <c r="I80" s="41"/>
      <c r="J80" s="67"/>
      <c r="K80" s="67"/>
      <c r="L80" s="41"/>
      <c r="M80" s="41"/>
      <c r="N80" s="40"/>
      <c r="O80" s="40"/>
      <c r="P80" s="40"/>
      <c r="Q80" s="40"/>
      <c r="R80" s="40"/>
      <c r="S80" s="4">
        <f t="shared" si="3"/>
        <v>0</v>
      </c>
      <c r="T80" s="54">
        <f t="shared" si="4"/>
        <v>0</v>
      </c>
      <c r="U80" s="55" t="str">
        <f t="shared" si="5"/>
        <v>NE</v>
      </c>
    </row>
    <row r="81" spans="1:22" ht="17.850000000000001" customHeight="1">
      <c r="A81" s="112">
        <v>69</v>
      </c>
      <c r="B81" s="139" t="s">
        <v>341</v>
      </c>
      <c r="C81" s="139" t="s">
        <v>342</v>
      </c>
      <c r="D81" s="40"/>
      <c r="E81" s="40"/>
      <c r="F81" s="40"/>
      <c r="G81" s="40"/>
      <c r="H81" s="40"/>
      <c r="I81" s="41"/>
      <c r="J81" s="67"/>
      <c r="K81" s="67"/>
      <c r="L81" s="41"/>
      <c r="M81" s="41"/>
      <c r="N81" s="40"/>
      <c r="O81" s="40"/>
      <c r="P81" s="40"/>
      <c r="Q81" s="40"/>
      <c r="R81" s="40"/>
      <c r="S81" s="4">
        <f t="shared" si="3"/>
        <v>0</v>
      </c>
      <c r="T81" s="54">
        <f t="shared" si="4"/>
        <v>0</v>
      </c>
      <c r="U81" s="55" t="str">
        <f t="shared" si="5"/>
        <v>NE</v>
      </c>
    </row>
    <row r="82" spans="1:22" ht="17.850000000000001" customHeight="1">
      <c r="A82" s="112">
        <v>70</v>
      </c>
      <c r="B82" s="139" t="s">
        <v>343</v>
      </c>
      <c r="C82" s="139" t="s">
        <v>344</v>
      </c>
      <c r="D82" s="40"/>
      <c r="E82" s="40"/>
      <c r="F82" s="40"/>
      <c r="G82" s="40"/>
      <c r="H82" s="40"/>
      <c r="I82" s="41"/>
      <c r="J82" s="67"/>
      <c r="K82" s="67"/>
      <c r="L82" s="41"/>
      <c r="M82" s="41"/>
      <c r="N82" s="40"/>
      <c r="O82" s="40"/>
      <c r="P82" s="40"/>
      <c r="Q82" s="40"/>
      <c r="R82" s="40"/>
      <c r="S82" s="4">
        <f t="shared" si="3"/>
        <v>0</v>
      </c>
      <c r="T82" s="54">
        <f t="shared" si="4"/>
        <v>0</v>
      </c>
      <c r="U82" s="55" t="str">
        <f t="shared" si="5"/>
        <v>NE</v>
      </c>
      <c r="V82" s="56"/>
    </row>
    <row r="83" spans="1:22" ht="17.850000000000001" customHeight="1">
      <c r="A83" s="112">
        <v>71</v>
      </c>
      <c r="B83" s="139" t="s">
        <v>345</v>
      </c>
      <c r="C83" s="139" t="s">
        <v>346</v>
      </c>
      <c r="D83" s="40"/>
      <c r="E83" s="40"/>
      <c r="F83" s="40"/>
      <c r="G83" s="40"/>
      <c r="H83" s="40"/>
      <c r="I83" s="41"/>
      <c r="J83" s="67"/>
      <c r="K83" s="67"/>
      <c r="L83" s="41"/>
      <c r="M83" s="41"/>
      <c r="N83" s="40"/>
      <c r="O83" s="40"/>
      <c r="P83" s="40"/>
      <c r="Q83" s="40"/>
      <c r="R83" s="40"/>
      <c r="S83" s="4">
        <f t="shared" si="3"/>
        <v>0</v>
      </c>
      <c r="T83" s="54">
        <f t="shared" si="4"/>
        <v>0</v>
      </c>
      <c r="U83" s="55" t="str">
        <f t="shared" si="5"/>
        <v>NE</v>
      </c>
    </row>
    <row r="84" spans="1:22" ht="17.850000000000001" customHeight="1">
      <c r="A84" s="112">
        <v>72</v>
      </c>
      <c r="B84" s="139" t="s">
        <v>347</v>
      </c>
      <c r="C84" s="139" t="s">
        <v>348</v>
      </c>
      <c r="D84" s="40"/>
      <c r="E84" s="40"/>
      <c r="F84" s="40"/>
      <c r="G84" s="40"/>
      <c r="H84" s="40"/>
      <c r="I84" s="41"/>
      <c r="J84" s="67"/>
      <c r="K84" s="67"/>
      <c r="L84" s="41"/>
      <c r="M84" s="41"/>
      <c r="N84" s="40"/>
      <c r="O84" s="40"/>
      <c r="P84" s="40"/>
      <c r="Q84" s="40"/>
      <c r="R84" s="40"/>
      <c r="S84" s="4">
        <f t="shared" si="3"/>
        <v>0</v>
      </c>
      <c r="T84" s="54">
        <f t="shared" si="4"/>
        <v>0</v>
      </c>
      <c r="U84" s="55" t="str">
        <f t="shared" si="5"/>
        <v>NE</v>
      </c>
    </row>
    <row r="85" spans="1:22" ht="17.850000000000001" customHeight="1">
      <c r="A85" s="112">
        <v>73</v>
      </c>
      <c r="B85" s="139" t="s">
        <v>349</v>
      </c>
      <c r="C85" s="139" t="s">
        <v>350</v>
      </c>
      <c r="D85" s="40"/>
      <c r="E85" s="40"/>
      <c r="F85" s="40"/>
      <c r="G85" s="40"/>
      <c r="H85" s="40"/>
      <c r="I85" s="41"/>
      <c r="J85" s="67"/>
      <c r="K85" s="67"/>
      <c r="L85" s="41"/>
      <c r="M85" s="41"/>
      <c r="N85" s="40"/>
      <c r="O85" s="40"/>
      <c r="P85" s="40"/>
      <c r="Q85" s="40"/>
      <c r="R85" s="40"/>
      <c r="S85" s="4">
        <f t="shared" si="3"/>
        <v>0</v>
      </c>
      <c r="T85" s="54">
        <f t="shared" si="4"/>
        <v>0</v>
      </c>
      <c r="U85" s="55" t="str">
        <f t="shared" si="5"/>
        <v>NE</v>
      </c>
    </row>
    <row r="86" spans="1:22" ht="17.850000000000001" customHeight="1">
      <c r="A86" s="112">
        <v>74</v>
      </c>
      <c r="B86" s="140" t="s">
        <v>351</v>
      </c>
      <c r="C86" s="141" t="s">
        <v>352</v>
      </c>
      <c r="D86" s="40"/>
      <c r="E86" s="40"/>
      <c r="F86" s="40"/>
      <c r="G86" s="17"/>
      <c r="H86" s="17"/>
      <c r="I86" s="41"/>
      <c r="J86" s="67"/>
      <c r="K86" s="67"/>
      <c r="L86" s="41"/>
      <c r="M86" s="41"/>
      <c r="N86" s="40"/>
      <c r="O86" s="40"/>
      <c r="P86" s="40"/>
      <c r="Q86" s="40"/>
      <c r="R86" s="40"/>
      <c r="S86" s="4">
        <f t="shared" si="3"/>
        <v>0</v>
      </c>
      <c r="T86" s="54">
        <f t="shared" si="4"/>
        <v>0</v>
      </c>
      <c r="U86" s="55" t="str">
        <f t="shared" si="5"/>
        <v>NE</v>
      </c>
      <c r="V86" s="56"/>
    </row>
    <row r="87" spans="1:22" ht="17.850000000000001" customHeight="1">
      <c r="A87" s="112">
        <v>75</v>
      </c>
      <c r="B87" s="140" t="s">
        <v>353</v>
      </c>
      <c r="C87" s="141" t="s">
        <v>354</v>
      </c>
      <c r="D87" s="40"/>
      <c r="E87" s="40"/>
      <c r="F87" s="40"/>
      <c r="G87" s="17"/>
      <c r="H87" s="17"/>
      <c r="I87" s="41"/>
      <c r="J87" s="67"/>
      <c r="K87" s="67"/>
      <c r="L87" s="41"/>
      <c r="M87" s="41"/>
      <c r="N87" s="40"/>
      <c r="O87" s="40"/>
      <c r="P87" s="40"/>
      <c r="Q87" s="40"/>
      <c r="R87" s="40"/>
      <c r="S87" s="4">
        <f t="shared" si="3"/>
        <v>0</v>
      </c>
      <c r="T87" s="54">
        <f t="shared" si="4"/>
        <v>0</v>
      </c>
      <c r="U87" s="55" t="str">
        <f t="shared" si="5"/>
        <v>NE</v>
      </c>
      <c r="V87" s="56"/>
    </row>
    <row r="88" spans="1:22" ht="17.850000000000001" customHeight="1">
      <c r="A88" s="112">
        <v>76</v>
      </c>
      <c r="B88" s="140" t="s">
        <v>355</v>
      </c>
      <c r="C88" s="141" t="s">
        <v>356</v>
      </c>
      <c r="D88" s="40"/>
      <c r="E88" s="40"/>
      <c r="F88" s="40"/>
      <c r="G88" s="17"/>
      <c r="H88" s="17"/>
      <c r="I88" s="41"/>
      <c r="J88" s="67"/>
      <c r="K88" s="67"/>
      <c r="L88" s="41"/>
      <c r="M88" s="41"/>
      <c r="N88" s="40"/>
      <c r="O88" s="40"/>
      <c r="P88" s="40"/>
      <c r="Q88" s="40"/>
      <c r="R88" s="40"/>
      <c r="S88" s="4">
        <f t="shared" si="3"/>
        <v>0</v>
      </c>
      <c r="T88" s="54">
        <f t="shared" si="4"/>
        <v>0</v>
      </c>
      <c r="U88" s="55" t="str">
        <f t="shared" si="5"/>
        <v>NE</v>
      </c>
      <c r="V88" s="56"/>
    </row>
    <row r="89" spans="1:22" ht="17.850000000000001" customHeight="1">
      <c r="A89" s="112">
        <v>77</v>
      </c>
      <c r="B89" s="140" t="s">
        <v>357</v>
      </c>
      <c r="C89" s="141" t="s">
        <v>358</v>
      </c>
      <c r="D89" s="40"/>
      <c r="E89" s="40"/>
      <c r="F89" s="40"/>
      <c r="G89" s="17"/>
      <c r="H89" s="17"/>
      <c r="I89" s="41"/>
      <c r="J89" s="67"/>
      <c r="K89" s="67"/>
      <c r="L89" s="41"/>
      <c r="M89" s="41"/>
      <c r="N89" s="40"/>
      <c r="O89" s="40"/>
      <c r="P89" s="40"/>
      <c r="Q89" s="40"/>
      <c r="R89" s="40"/>
      <c r="S89" s="4">
        <f t="shared" si="3"/>
        <v>0</v>
      </c>
      <c r="T89" s="54">
        <f t="shared" si="4"/>
        <v>0</v>
      </c>
      <c r="U89" s="55" t="str">
        <f t="shared" si="5"/>
        <v>NE</v>
      </c>
      <c r="V89" s="56"/>
    </row>
    <row r="90" spans="1:22" ht="17.850000000000001" customHeight="1">
      <c r="A90" s="112">
        <v>78</v>
      </c>
      <c r="B90" s="142" t="s">
        <v>359</v>
      </c>
      <c r="C90" s="92" t="s">
        <v>360</v>
      </c>
      <c r="D90" s="40"/>
      <c r="E90" s="40"/>
      <c r="F90" s="40"/>
      <c r="G90" s="17"/>
      <c r="H90" s="17"/>
      <c r="I90" s="41"/>
      <c r="J90" s="67"/>
      <c r="K90" s="67"/>
      <c r="L90" s="41"/>
      <c r="M90" s="41"/>
      <c r="N90" s="40"/>
      <c r="O90" s="40"/>
      <c r="P90" s="40"/>
      <c r="Q90" s="40"/>
      <c r="R90" s="40"/>
      <c r="S90" s="4">
        <f t="shared" si="3"/>
        <v>0</v>
      </c>
      <c r="T90" s="54">
        <f t="shared" si="4"/>
        <v>0</v>
      </c>
      <c r="U90" s="55" t="str">
        <f t="shared" si="5"/>
        <v>NE</v>
      </c>
      <c r="V90" s="56"/>
    </row>
    <row r="91" spans="1:22" ht="17.850000000000001" customHeight="1">
      <c r="A91" s="112">
        <v>79</v>
      </c>
      <c r="B91" s="142" t="s">
        <v>361</v>
      </c>
      <c r="C91" s="92" t="s">
        <v>362</v>
      </c>
      <c r="D91" s="40"/>
      <c r="E91" s="40"/>
      <c r="F91" s="40"/>
      <c r="G91" s="17"/>
      <c r="H91" s="17"/>
      <c r="I91" s="41"/>
      <c r="J91" s="67"/>
      <c r="K91" s="67"/>
      <c r="L91" s="41"/>
      <c r="M91" s="41"/>
      <c r="N91" s="40"/>
      <c r="O91" s="40"/>
      <c r="P91" s="40"/>
      <c r="Q91" s="40"/>
      <c r="R91" s="40"/>
      <c r="S91" s="4">
        <f t="shared" si="3"/>
        <v>0</v>
      </c>
      <c r="T91" s="54">
        <f t="shared" si="4"/>
        <v>0</v>
      </c>
      <c r="U91" s="55" t="str">
        <f t="shared" si="5"/>
        <v>NE</v>
      </c>
      <c r="V91" s="56"/>
    </row>
    <row r="92" spans="1:22" ht="17.850000000000001" customHeight="1">
      <c r="A92" s="112">
        <v>80</v>
      </c>
      <c r="B92" s="142" t="s">
        <v>363</v>
      </c>
      <c r="C92" s="92" t="s">
        <v>364</v>
      </c>
      <c r="D92" s="40"/>
      <c r="E92" s="40"/>
      <c r="F92" s="40"/>
      <c r="G92" s="17"/>
      <c r="H92" s="17"/>
      <c r="I92" s="41"/>
      <c r="J92" s="67"/>
      <c r="K92" s="67"/>
      <c r="L92" s="41"/>
      <c r="M92" s="41"/>
      <c r="N92" s="40"/>
      <c r="O92" s="40"/>
      <c r="P92" s="40"/>
      <c r="Q92" s="40"/>
      <c r="R92" s="40"/>
      <c r="S92" s="4">
        <f t="shared" si="3"/>
        <v>0</v>
      </c>
      <c r="T92" s="54">
        <f t="shared" si="4"/>
        <v>0</v>
      </c>
      <c r="U92" s="55" t="str">
        <f t="shared" si="5"/>
        <v>NE</v>
      </c>
      <c r="V92" s="56"/>
    </row>
    <row r="93" spans="1:22" ht="17.850000000000001" customHeight="1">
      <c r="A93" s="112">
        <v>81</v>
      </c>
      <c r="B93" s="142"/>
      <c r="C93" s="92"/>
      <c r="D93" s="40"/>
      <c r="E93" s="40"/>
      <c r="F93" s="40"/>
      <c r="G93" s="17"/>
      <c r="H93" s="17"/>
      <c r="I93" s="21"/>
      <c r="J93" s="21"/>
      <c r="K93" s="21"/>
      <c r="L93" s="21"/>
      <c r="M93" s="21"/>
      <c r="N93" s="40"/>
      <c r="O93" s="40"/>
      <c r="P93" s="40"/>
      <c r="Q93" s="40"/>
      <c r="R93" s="40"/>
      <c r="S93" s="4">
        <f t="shared" si="3"/>
        <v>0</v>
      </c>
      <c r="T93" s="54">
        <f t="shared" si="4"/>
        <v>0</v>
      </c>
      <c r="U93" s="55" t="str">
        <f t="shared" si="5"/>
        <v>NE</v>
      </c>
      <c r="V93" s="56"/>
    </row>
    <row r="94" spans="1:22" ht="17.850000000000001" customHeight="1">
      <c r="A94" s="82"/>
      <c r="B94" s="48"/>
      <c r="C94" s="37"/>
      <c r="D94" s="38"/>
      <c r="E94" s="38"/>
      <c r="F94" s="38"/>
      <c r="G94" s="38"/>
      <c r="H94" s="38"/>
      <c r="I94" s="39"/>
      <c r="J94" s="39"/>
      <c r="K94" s="39"/>
      <c r="L94" s="39"/>
      <c r="M94" s="39"/>
      <c r="N94" s="40"/>
      <c r="O94" s="40"/>
      <c r="P94" s="40"/>
      <c r="Q94" s="40"/>
      <c r="R94" s="40"/>
      <c r="S94" s="4">
        <f t="shared" si="3"/>
        <v>0</v>
      </c>
      <c r="T94" s="54">
        <f t="shared" si="4"/>
        <v>0</v>
      </c>
      <c r="U94" s="55" t="str">
        <f t="shared" si="5"/>
        <v>NE</v>
      </c>
      <c r="V94" s="56"/>
    </row>
    <row r="95" spans="1:22" ht="17.850000000000001" customHeight="1">
      <c r="A95" s="82"/>
      <c r="B95" s="113"/>
      <c r="C95" s="63"/>
      <c r="D95" s="17"/>
      <c r="E95" s="17"/>
      <c r="F95" s="17"/>
      <c r="G95" s="17"/>
      <c r="H95" s="17"/>
      <c r="I95" s="21"/>
      <c r="J95" s="21"/>
      <c r="K95" s="21"/>
      <c r="L95" s="21"/>
      <c r="M95" s="21"/>
      <c r="N95" s="40"/>
      <c r="O95" s="40"/>
      <c r="P95" s="40"/>
      <c r="Q95" s="40"/>
      <c r="R95" s="40"/>
      <c r="S95" s="4">
        <f t="shared" si="3"/>
        <v>0</v>
      </c>
      <c r="T95" s="54">
        <f t="shared" si="4"/>
        <v>0</v>
      </c>
      <c r="U95" s="55" t="str">
        <f t="shared" si="5"/>
        <v>NE</v>
      </c>
    </row>
    <row r="96" spans="1:22" ht="17.850000000000001" customHeight="1">
      <c r="A96" s="82"/>
      <c r="B96" s="113"/>
      <c r="C96" s="61"/>
      <c r="D96" s="17"/>
      <c r="E96" s="17"/>
      <c r="F96" s="17"/>
      <c r="G96" s="17"/>
      <c r="H96" s="17"/>
      <c r="I96" s="21"/>
      <c r="J96" s="21"/>
      <c r="K96" s="21"/>
      <c r="L96" s="21"/>
      <c r="M96" s="21"/>
      <c r="N96" s="40"/>
      <c r="O96" s="40"/>
      <c r="P96" s="40"/>
      <c r="Q96" s="40"/>
      <c r="R96" s="40"/>
      <c r="S96" s="4">
        <f t="shared" si="3"/>
        <v>0</v>
      </c>
      <c r="T96" s="54">
        <f t="shared" si="4"/>
        <v>0</v>
      </c>
      <c r="U96" s="55" t="str">
        <f t="shared" si="5"/>
        <v>NE</v>
      </c>
    </row>
    <row r="97" spans="1:21" ht="17.850000000000001" customHeight="1">
      <c r="A97" s="114"/>
      <c r="B97" s="115"/>
      <c r="C97" s="65"/>
      <c r="D97" s="28"/>
      <c r="E97" s="28"/>
      <c r="F97" s="28"/>
      <c r="G97" s="28"/>
      <c r="H97" s="28"/>
      <c r="I97" s="22"/>
      <c r="J97" s="22"/>
      <c r="K97" s="22"/>
      <c r="L97" s="22"/>
      <c r="M97" s="22"/>
      <c r="N97" s="40"/>
      <c r="O97" s="40"/>
      <c r="P97" s="40"/>
      <c r="Q97" s="40"/>
      <c r="R97" s="40"/>
      <c r="S97" s="4">
        <f t="shared" si="3"/>
        <v>0</v>
      </c>
      <c r="T97" s="54">
        <f t="shared" si="4"/>
        <v>0</v>
      </c>
      <c r="U97" s="55" t="str">
        <f t="shared" si="5"/>
        <v>NE</v>
      </c>
    </row>
    <row r="98" spans="1:21" ht="15" customHeight="1">
      <c r="A98" s="116"/>
      <c r="B98" s="117"/>
      <c r="C98" s="118" t="s">
        <v>12</v>
      </c>
      <c r="D98" s="43">
        <f>COUNTIF(D13:D97,"P")</f>
        <v>0</v>
      </c>
      <c r="E98" s="43">
        <f t="shared" ref="E98:R98" si="6">COUNTIF(E13:E97,"P")</f>
        <v>0</v>
      </c>
      <c r="F98" s="43">
        <f t="shared" si="6"/>
        <v>0</v>
      </c>
      <c r="G98" s="43">
        <f t="shared" si="6"/>
        <v>0</v>
      </c>
      <c r="H98" s="43">
        <f t="shared" si="6"/>
        <v>0</v>
      </c>
      <c r="I98" s="23">
        <f t="shared" si="6"/>
        <v>0</v>
      </c>
      <c r="J98" s="23">
        <f t="shared" si="6"/>
        <v>0</v>
      </c>
      <c r="K98" s="23">
        <f t="shared" si="6"/>
        <v>0</v>
      </c>
      <c r="L98" s="23">
        <f t="shared" si="6"/>
        <v>0</v>
      </c>
      <c r="M98" s="23">
        <f t="shared" si="6"/>
        <v>0</v>
      </c>
      <c r="N98" s="43">
        <f t="shared" si="6"/>
        <v>0</v>
      </c>
      <c r="O98" s="43">
        <f t="shared" si="6"/>
        <v>0</v>
      </c>
      <c r="P98" s="43">
        <f t="shared" si="6"/>
        <v>0</v>
      </c>
      <c r="Q98" s="43">
        <f t="shared" si="6"/>
        <v>0</v>
      </c>
      <c r="R98" s="43">
        <f t="shared" si="6"/>
        <v>0</v>
      </c>
      <c r="S98" s="5"/>
      <c r="T98" s="5"/>
    </row>
    <row r="99" spans="1:21" ht="16.5" customHeight="1">
      <c r="A99" s="116"/>
      <c r="B99" s="119"/>
      <c r="C99" s="32" t="s">
        <v>13</v>
      </c>
      <c r="D99" s="43">
        <f>COUNTIF(D13:D97,"A")</f>
        <v>0</v>
      </c>
      <c r="E99" s="43">
        <f t="shared" ref="E99:R99" si="7">COUNTIF(E13:E97,"A")</f>
        <v>0</v>
      </c>
      <c r="F99" s="43">
        <f t="shared" si="7"/>
        <v>0</v>
      </c>
      <c r="G99" s="43">
        <f t="shared" si="7"/>
        <v>0</v>
      </c>
      <c r="H99" s="43">
        <f t="shared" si="7"/>
        <v>0</v>
      </c>
      <c r="I99" s="23">
        <f t="shared" si="7"/>
        <v>0</v>
      </c>
      <c r="J99" s="23">
        <f t="shared" si="7"/>
        <v>0</v>
      </c>
      <c r="K99" s="23">
        <f t="shared" si="7"/>
        <v>0</v>
      </c>
      <c r="L99" s="23">
        <f t="shared" si="7"/>
        <v>0</v>
      </c>
      <c r="M99" s="23">
        <f t="shared" si="7"/>
        <v>0</v>
      </c>
      <c r="N99" s="43">
        <f t="shared" si="7"/>
        <v>0</v>
      </c>
      <c r="O99" s="43">
        <f t="shared" si="7"/>
        <v>0</v>
      </c>
      <c r="P99" s="43">
        <f t="shared" si="7"/>
        <v>0</v>
      </c>
      <c r="Q99" s="43">
        <f t="shared" si="7"/>
        <v>0</v>
      </c>
      <c r="R99" s="43">
        <f t="shared" si="7"/>
        <v>0</v>
      </c>
      <c r="S99" s="5"/>
      <c r="T99" s="5"/>
    </row>
    <row r="100" spans="1:21" ht="16.5" customHeight="1">
      <c r="A100" s="120"/>
      <c r="B100" s="121"/>
      <c r="C100" s="122" t="s">
        <v>18</v>
      </c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24"/>
      <c r="S100" s="25"/>
      <c r="T100" s="25"/>
    </row>
    <row r="101" spans="1:21" ht="29.25" customHeight="1">
      <c r="A101" s="123"/>
      <c r="B101" s="124"/>
      <c r="C101" s="125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1"/>
      <c r="T101" s="1"/>
    </row>
    <row r="102" spans="1:21" ht="15.75" customHeight="1">
      <c r="A102" s="156" t="s">
        <v>11</v>
      </c>
      <c r="B102" s="157"/>
      <c r="C102" s="157"/>
      <c r="D102" s="157"/>
      <c r="E102" s="157"/>
      <c r="F102" s="157"/>
      <c r="G102" s="157"/>
      <c r="H102" s="157"/>
      <c r="I102" s="157"/>
      <c r="J102" s="157"/>
      <c r="K102" s="157"/>
      <c r="L102" s="157"/>
      <c r="M102" s="157"/>
      <c r="N102" s="157"/>
      <c r="O102" s="157"/>
      <c r="P102" s="157"/>
      <c r="Q102" s="157"/>
      <c r="R102" s="157"/>
      <c r="S102" s="157"/>
      <c r="T102" s="157"/>
      <c r="U102" s="35"/>
    </row>
  </sheetData>
  <mergeCells count="15">
    <mergeCell ref="A4:T4"/>
    <mergeCell ref="A5:T5"/>
    <mergeCell ref="A6:T6"/>
    <mergeCell ref="P7:T7"/>
    <mergeCell ref="P9:T9"/>
    <mergeCell ref="U10:U12"/>
    <mergeCell ref="D11:H11"/>
    <mergeCell ref="I11:M11"/>
    <mergeCell ref="N11:R11"/>
    <mergeCell ref="A102:T102"/>
    <mergeCell ref="A10:A12"/>
    <mergeCell ref="B10:B12"/>
    <mergeCell ref="C10:C12"/>
    <mergeCell ref="S10:S12"/>
    <mergeCell ref="T10:T12"/>
  </mergeCells>
  <conditionalFormatting sqref="D13:R97">
    <cfRule type="containsText" dxfId="4" priority="1" operator="containsText" text="A">
      <formula>NOT(ISERROR(SEARCH("A",D13)))</formula>
    </cfRule>
  </conditionalFormatting>
  <conditionalFormatting sqref="T13:T97">
    <cfRule type="cellIs" dxfId="3" priority="22" operator="lessThan">
      <formula>75</formula>
    </cfRule>
  </conditionalFormatting>
  <conditionalFormatting sqref="U13:U97">
    <cfRule type="containsText" dxfId="2" priority="19" operator="containsText" text="CN">
      <formula>NOT(ISERROR(SEARCH("CN",U13)))</formula>
    </cfRule>
    <cfRule type="containsText" dxfId="1" priority="20" operator="containsText" text="NE">
      <formula>NOT(ISERROR(SEARCH("NE",U13)))</formula>
    </cfRule>
  </conditionalFormatting>
  <pageMargins left="0.70866141732283472" right="0.51181102362204722" top="0.74803149606299213" bottom="0.74803149606299213" header="0.31496062992125984" footer="0.31496062992125984"/>
  <pageSetup scale="8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87"/>
  <sheetViews>
    <sheetView tabSelected="1" view="pageBreakPreview" topLeftCell="A5" zoomScaleNormal="100" zoomScaleSheetLayoutView="100" workbookViewId="0">
      <selection activeCell="E12" sqref="E12"/>
    </sheetView>
  </sheetViews>
  <sheetFormatPr defaultRowHeight="13.2"/>
  <cols>
    <col min="1" max="1" width="6.6640625" customWidth="1"/>
    <col min="2" max="2" width="14.6640625" customWidth="1"/>
    <col min="3" max="3" width="38.44140625" customWidth="1"/>
    <col min="4" max="4" width="8.44140625" customWidth="1"/>
    <col min="5" max="5" width="76" customWidth="1"/>
  </cols>
  <sheetData>
    <row r="1" spans="1:5" ht="10.5" customHeight="1">
      <c r="A1" s="8"/>
      <c r="B1" s="8"/>
      <c r="C1" s="8"/>
      <c r="D1" s="8"/>
      <c r="E1" s="8"/>
    </row>
    <row r="2" spans="1:5" ht="21" customHeight="1">
      <c r="A2" s="9"/>
      <c r="B2" s="9"/>
      <c r="C2" s="9"/>
      <c r="D2" s="9"/>
      <c r="E2" s="9"/>
    </row>
    <row r="3" spans="1:5" ht="33" customHeight="1">
      <c r="A3" s="9"/>
      <c r="B3" s="9"/>
      <c r="C3" s="9"/>
      <c r="D3" s="9"/>
      <c r="E3" s="9"/>
    </row>
    <row r="4" spans="1:5" ht="17.25" customHeight="1">
      <c r="A4" s="145" t="s">
        <v>6</v>
      </c>
      <c r="B4" s="146"/>
      <c r="C4" s="146"/>
      <c r="D4" s="146"/>
      <c r="E4" s="146"/>
    </row>
    <row r="5" spans="1:5" ht="33" customHeight="1">
      <c r="A5" s="146" t="s">
        <v>10</v>
      </c>
      <c r="B5" s="146"/>
      <c r="C5" s="146"/>
      <c r="D5" s="146"/>
      <c r="E5" s="146"/>
    </row>
    <row r="6" spans="1:5" ht="19.5" customHeight="1">
      <c r="A6" s="146" t="s">
        <v>25</v>
      </c>
      <c r="B6" s="146"/>
      <c r="C6" s="146"/>
      <c r="D6" s="146"/>
      <c r="E6" s="146"/>
    </row>
    <row r="7" spans="1:5" ht="18.75" customHeight="1">
      <c r="A7" s="42" t="s">
        <v>203</v>
      </c>
      <c r="B7" s="12"/>
      <c r="C7" s="12"/>
      <c r="D7" s="12"/>
      <c r="E7" s="12"/>
    </row>
    <row r="8" spans="1:5" ht="18.75" customHeight="1">
      <c r="A8" s="73" t="s">
        <v>204</v>
      </c>
      <c r="B8" s="12"/>
      <c r="C8" s="12"/>
      <c r="D8" s="12"/>
      <c r="E8" s="12"/>
    </row>
    <row r="9" spans="1:5" s="6" customFormat="1" ht="15" customHeight="1">
      <c r="A9" s="20" t="s">
        <v>365</v>
      </c>
      <c r="B9" s="19"/>
      <c r="C9" s="19"/>
      <c r="D9" s="12"/>
      <c r="E9" s="11"/>
    </row>
    <row r="10" spans="1:5" s="75" customFormat="1" ht="34.5" customHeight="1">
      <c r="A10" s="74" t="s">
        <v>19</v>
      </c>
      <c r="B10" s="134" t="s">
        <v>23</v>
      </c>
      <c r="C10" s="134" t="s">
        <v>24</v>
      </c>
      <c r="D10" s="134" t="s">
        <v>202</v>
      </c>
      <c r="E10" s="135" t="s">
        <v>201</v>
      </c>
    </row>
    <row r="11" spans="1:5" ht="17.850000000000001" customHeight="1">
      <c r="A11" s="112">
        <v>11</v>
      </c>
      <c r="B11" s="136" t="s">
        <v>307</v>
      </c>
      <c r="C11" s="137" t="s">
        <v>366</v>
      </c>
      <c r="D11" s="137">
        <v>36</v>
      </c>
      <c r="E11" s="138" t="s">
        <v>368</v>
      </c>
    </row>
    <row r="12" spans="1:5" ht="17.850000000000001" customHeight="1">
      <c r="A12" s="112">
        <v>12</v>
      </c>
      <c r="B12" s="77" t="s">
        <v>311</v>
      </c>
      <c r="C12" s="78" t="s">
        <v>367</v>
      </c>
      <c r="D12" s="78">
        <v>36</v>
      </c>
      <c r="E12" s="78" t="s">
        <v>369</v>
      </c>
    </row>
    <row r="13" spans="1:5" ht="17.850000000000001" customHeight="1">
      <c r="A13" s="112">
        <v>13</v>
      </c>
      <c r="B13" s="76"/>
      <c r="C13" s="81"/>
      <c r="D13" s="81"/>
      <c r="E13" s="81"/>
    </row>
    <row r="14" spans="1:5" ht="17.850000000000001" customHeight="1">
      <c r="A14" s="112">
        <v>14</v>
      </c>
      <c r="B14" s="76"/>
      <c r="C14" s="81"/>
      <c r="D14" s="81"/>
      <c r="E14" s="81"/>
    </row>
    <row r="15" spans="1:5" ht="17.850000000000001" customHeight="1">
      <c r="A15" s="112">
        <v>15</v>
      </c>
      <c r="B15" s="76"/>
      <c r="C15" s="81"/>
      <c r="D15" s="81"/>
      <c r="E15" s="81"/>
    </row>
    <row r="16" spans="1:5" ht="17.850000000000001" customHeight="1">
      <c r="A16" s="112">
        <v>16</v>
      </c>
      <c r="B16" s="77"/>
      <c r="C16" s="78"/>
      <c r="D16" s="78"/>
      <c r="E16" s="78"/>
    </row>
    <row r="17" spans="1:5" ht="17.850000000000001" customHeight="1">
      <c r="A17" s="112">
        <v>17</v>
      </c>
      <c r="B17" s="77"/>
      <c r="C17" s="81"/>
      <c r="D17" s="81"/>
      <c r="E17" s="81"/>
    </row>
    <row r="18" spans="1:5" ht="17.850000000000001" customHeight="1" thickBot="1">
      <c r="A18" s="112">
        <v>18</v>
      </c>
      <c r="B18" s="77"/>
      <c r="C18" s="78"/>
      <c r="D18" s="78"/>
      <c r="E18" s="78"/>
    </row>
    <row r="19" spans="1:5" ht="17.850000000000001" customHeight="1" thickBot="1">
      <c r="A19" s="112">
        <v>19</v>
      </c>
      <c r="B19" s="128"/>
      <c r="C19" s="129"/>
      <c r="D19" s="129"/>
      <c r="E19" s="129"/>
    </row>
    <row r="20" spans="1:5" ht="17.850000000000001" customHeight="1" thickBot="1">
      <c r="A20" s="112">
        <v>20</v>
      </c>
      <c r="B20" s="130"/>
      <c r="C20" s="131"/>
      <c r="D20" s="131"/>
      <c r="E20" s="131"/>
    </row>
    <row r="21" spans="1:5" ht="17.850000000000001" customHeight="1" thickBot="1">
      <c r="A21" s="112">
        <v>21</v>
      </c>
      <c r="B21" s="132"/>
      <c r="C21" s="131"/>
      <c r="D21" s="131"/>
      <c r="E21" s="131"/>
    </row>
    <row r="22" spans="1:5" ht="17.850000000000001" customHeight="1" thickBot="1">
      <c r="A22" s="112">
        <v>22</v>
      </c>
      <c r="B22" s="130"/>
      <c r="C22" s="133"/>
      <c r="D22" s="133"/>
      <c r="E22" s="133"/>
    </row>
    <row r="23" spans="1:5" ht="17.850000000000001" customHeight="1" thickBot="1">
      <c r="A23" s="112">
        <v>23</v>
      </c>
      <c r="B23" s="130"/>
      <c r="C23" s="131"/>
      <c r="D23" s="131"/>
      <c r="E23" s="131"/>
    </row>
    <row r="24" spans="1:5" ht="17.850000000000001" customHeight="1" thickBot="1">
      <c r="A24" s="112">
        <v>24</v>
      </c>
      <c r="B24" s="132"/>
      <c r="C24" s="131"/>
      <c r="D24" s="131"/>
      <c r="E24" s="131"/>
    </row>
    <row r="25" spans="1:5" ht="17.850000000000001" customHeight="1" thickBot="1">
      <c r="A25" s="112">
        <v>25</v>
      </c>
      <c r="B25" s="132"/>
      <c r="C25" s="131"/>
      <c r="D25" s="131"/>
      <c r="E25" s="131"/>
    </row>
    <row r="26" spans="1:5" ht="17.850000000000001" customHeight="1">
      <c r="A26" s="112">
        <v>26</v>
      </c>
      <c r="B26" s="76"/>
      <c r="C26" s="81"/>
      <c r="D26" s="81"/>
      <c r="E26" s="81"/>
    </row>
    <row r="27" spans="1:5" ht="17.850000000000001" customHeight="1">
      <c r="A27" s="112">
        <v>27</v>
      </c>
      <c r="B27" s="76"/>
      <c r="C27" s="81"/>
      <c r="D27" s="81"/>
      <c r="E27" s="81"/>
    </row>
    <row r="28" spans="1:5" ht="17.850000000000001" customHeight="1">
      <c r="A28" s="112">
        <v>28</v>
      </c>
      <c r="B28" s="77"/>
      <c r="C28" s="78"/>
      <c r="D28" s="78"/>
      <c r="E28" s="78"/>
    </row>
    <row r="29" spans="1:5" ht="17.850000000000001" customHeight="1">
      <c r="A29" s="112">
        <v>29</v>
      </c>
      <c r="B29" s="76"/>
      <c r="C29" s="78"/>
      <c r="D29" s="78"/>
      <c r="E29" s="78"/>
    </row>
    <row r="30" spans="1:5" ht="17.850000000000001" customHeight="1">
      <c r="A30" s="112">
        <v>30</v>
      </c>
      <c r="B30" s="77"/>
      <c r="C30" s="78"/>
      <c r="D30" s="78"/>
      <c r="E30" s="78"/>
    </row>
    <row r="31" spans="1:5" ht="17.850000000000001" customHeight="1">
      <c r="A31" s="112">
        <v>31</v>
      </c>
      <c r="B31" s="76"/>
      <c r="C31" s="78"/>
      <c r="D31" s="78"/>
      <c r="E31" s="78"/>
    </row>
    <row r="32" spans="1:5" ht="17.850000000000001" customHeight="1">
      <c r="A32" s="112">
        <v>32</v>
      </c>
      <c r="B32" s="76"/>
      <c r="C32" s="81"/>
      <c r="D32" s="81"/>
      <c r="E32" s="81"/>
    </row>
    <row r="33" spans="1:5" ht="17.850000000000001" customHeight="1">
      <c r="A33" s="112">
        <v>33</v>
      </c>
      <c r="B33" s="77"/>
      <c r="C33" s="78"/>
      <c r="D33" s="78"/>
      <c r="E33" s="78"/>
    </row>
    <row r="34" spans="1:5" ht="17.850000000000001" customHeight="1">
      <c r="A34" s="112">
        <v>34</v>
      </c>
      <c r="B34" s="76"/>
      <c r="C34" s="81"/>
      <c r="D34" s="81"/>
      <c r="E34" s="81"/>
    </row>
    <row r="35" spans="1:5" ht="17.850000000000001" customHeight="1">
      <c r="A35" s="112">
        <v>35</v>
      </c>
      <c r="B35" s="76"/>
      <c r="C35" s="78"/>
      <c r="D35" s="78"/>
      <c r="E35" s="78"/>
    </row>
    <row r="36" spans="1:5" ht="17.850000000000001" customHeight="1">
      <c r="A36" s="112">
        <v>36</v>
      </c>
      <c r="B36" s="77"/>
      <c r="C36" s="81"/>
      <c r="D36" s="81"/>
      <c r="E36" s="81"/>
    </row>
    <row r="37" spans="1:5" ht="17.850000000000001" customHeight="1">
      <c r="A37" s="112">
        <v>37</v>
      </c>
      <c r="B37" s="76"/>
      <c r="C37" s="78"/>
      <c r="D37" s="78"/>
      <c r="E37" s="78"/>
    </row>
    <row r="38" spans="1:5" ht="17.850000000000001" customHeight="1">
      <c r="A38" s="112">
        <v>38</v>
      </c>
      <c r="B38" s="77"/>
      <c r="C38" s="78"/>
      <c r="D38" s="78"/>
      <c r="E38" s="78"/>
    </row>
    <row r="39" spans="1:5" ht="17.850000000000001" customHeight="1">
      <c r="A39" s="112">
        <v>39</v>
      </c>
      <c r="B39" s="76"/>
      <c r="C39" s="81"/>
      <c r="D39" s="81"/>
      <c r="E39" s="81"/>
    </row>
    <row r="40" spans="1:5" ht="17.850000000000001" customHeight="1">
      <c r="A40" s="112">
        <v>40</v>
      </c>
      <c r="B40" s="77"/>
      <c r="C40" s="81"/>
      <c r="D40" s="81"/>
      <c r="E40" s="81"/>
    </row>
    <row r="41" spans="1:5" ht="17.850000000000001" customHeight="1">
      <c r="A41" s="112">
        <v>41</v>
      </c>
      <c r="B41" s="82"/>
      <c r="C41" s="78"/>
      <c r="D41" s="78"/>
      <c r="E41" s="78"/>
    </row>
    <row r="42" spans="1:5" ht="17.850000000000001" customHeight="1">
      <c r="A42" s="112">
        <v>42</v>
      </c>
      <c r="B42" s="77"/>
      <c r="C42" s="81"/>
      <c r="D42" s="81"/>
      <c r="E42" s="81"/>
    </row>
    <row r="43" spans="1:5" ht="17.850000000000001" customHeight="1">
      <c r="A43" s="112">
        <v>43</v>
      </c>
      <c r="B43" s="76"/>
      <c r="C43" s="81"/>
      <c r="D43" s="81"/>
      <c r="E43" s="81"/>
    </row>
    <row r="44" spans="1:5" ht="17.850000000000001" customHeight="1">
      <c r="A44" s="112">
        <v>44</v>
      </c>
      <c r="B44" s="77"/>
      <c r="C44" s="81"/>
      <c r="D44" s="81"/>
      <c r="E44" s="81"/>
    </row>
    <row r="45" spans="1:5" ht="17.850000000000001" customHeight="1">
      <c r="A45" s="112">
        <v>45</v>
      </c>
      <c r="B45" s="77"/>
      <c r="C45" s="81"/>
      <c r="D45" s="81"/>
      <c r="E45" s="81"/>
    </row>
    <row r="46" spans="1:5" ht="17.850000000000001" customHeight="1">
      <c r="A46" s="112">
        <v>46</v>
      </c>
      <c r="B46" s="76"/>
      <c r="C46" s="81"/>
      <c r="D46" s="81"/>
      <c r="E46" s="81"/>
    </row>
    <row r="47" spans="1:5" ht="17.850000000000001" customHeight="1">
      <c r="A47" s="112">
        <v>47</v>
      </c>
      <c r="B47" s="77"/>
      <c r="C47" s="81"/>
      <c r="D47" s="81"/>
      <c r="E47" s="81"/>
    </row>
    <row r="48" spans="1:5" ht="17.850000000000001" customHeight="1">
      <c r="A48" s="112">
        <v>48</v>
      </c>
      <c r="B48" s="77"/>
      <c r="C48" s="81"/>
      <c r="D48" s="81"/>
      <c r="E48" s="81"/>
    </row>
    <row r="49" spans="1:5" ht="17.850000000000001" customHeight="1">
      <c r="A49" s="112">
        <v>49</v>
      </c>
      <c r="B49" s="76"/>
      <c r="C49" s="78"/>
      <c r="D49" s="78"/>
      <c r="E49" s="78"/>
    </row>
    <row r="50" spans="1:5" ht="17.850000000000001" customHeight="1">
      <c r="A50" s="112">
        <v>50</v>
      </c>
      <c r="B50" s="77"/>
      <c r="C50" s="81"/>
      <c r="D50" s="81"/>
      <c r="E50" s="81"/>
    </row>
    <row r="51" spans="1:5" ht="17.850000000000001" customHeight="1">
      <c r="A51" s="112">
        <v>51</v>
      </c>
      <c r="B51" s="76"/>
      <c r="C51" s="78"/>
      <c r="D51" s="78"/>
      <c r="E51" s="78"/>
    </row>
    <row r="52" spans="1:5" ht="17.850000000000001" customHeight="1">
      <c r="A52" s="112">
        <v>52</v>
      </c>
      <c r="B52" s="76"/>
      <c r="C52" s="78"/>
      <c r="D52" s="78"/>
      <c r="E52" s="78"/>
    </row>
    <row r="53" spans="1:5" ht="17.850000000000001" customHeight="1">
      <c r="A53" s="112">
        <v>53</v>
      </c>
      <c r="B53" s="77"/>
      <c r="C53" s="81"/>
      <c r="D53" s="81"/>
      <c r="E53" s="81"/>
    </row>
    <row r="54" spans="1:5" ht="17.850000000000001" customHeight="1">
      <c r="A54" s="112">
        <v>54</v>
      </c>
      <c r="B54" s="77"/>
      <c r="C54" s="78"/>
      <c r="D54" s="78"/>
      <c r="E54" s="78"/>
    </row>
    <row r="55" spans="1:5" ht="17.850000000000001" customHeight="1">
      <c r="A55" s="112">
        <v>55</v>
      </c>
      <c r="B55" s="76"/>
      <c r="C55" s="81"/>
      <c r="D55" s="81"/>
      <c r="E55" s="81"/>
    </row>
    <row r="56" spans="1:5" ht="17.850000000000001" customHeight="1">
      <c r="A56" s="112">
        <v>56</v>
      </c>
      <c r="B56" s="77"/>
      <c r="C56" s="78"/>
      <c r="D56" s="78"/>
      <c r="E56" s="78"/>
    </row>
    <row r="57" spans="1:5" ht="17.850000000000001" customHeight="1">
      <c r="A57" s="112">
        <v>57</v>
      </c>
      <c r="B57" s="76"/>
      <c r="C57" s="81"/>
      <c r="D57" s="81"/>
      <c r="E57" s="81"/>
    </row>
    <row r="58" spans="1:5" ht="17.850000000000001" customHeight="1">
      <c r="A58" s="112">
        <v>58</v>
      </c>
      <c r="B58" s="77"/>
      <c r="C58" s="78"/>
      <c r="D58" s="78"/>
      <c r="E58" s="78"/>
    </row>
    <row r="59" spans="1:5" ht="17.850000000000001" customHeight="1">
      <c r="A59" s="112">
        <v>59</v>
      </c>
      <c r="B59" s="77"/>
      <c r="C59" s="81"/>
      <c r="D59" s="81"/>
      <c r="E59" s="81"/>
    </row>
    <row r="60" spans="1:5" ht="17.850000000000001" customHeight="1">
      <c r="A60" s="112">
        <v>60</v>
      </c>
      <c r="B60" s="76"/>
      <c r="C60" s="78"/>
      <c r="D60" s="78"/>
      <c r="E60" s="78"/>
    </row>
    <row r="61" spans="1:5" ht="17.850000000000001" customHeight="1">
      <c r="A61" s="112">
        <v>61</v>
      </c>
      <c r="B61" s="76"/>
      <c r="C61" s="81"/>
      <c r="D61" s="81"/>
      <c r="E61" s="81"/>
    </row>
    <row r="62" spans="1:5" ht="17.850000000000001" customHeight="1">
      <c r="A62" s="112">
        <v>62</v>
      </c>
      <c r="B62" s="76"/>
      <c r="C62" s="78"/>
      <c r="D62" s="78"/>
      <c r="E62" s="78"/>
    </row>
    <row r="63" spans="1:5" ht="17.850000000000001" customHeight="1">
      <c r="A63" s="112">
        <v>63</v>
      </c>
      <c r="B63" s="76"/>
      <c r="C63" s="81"/>
      <c r="D63" s="81"/>
      <c r="E63" s="81"/>
    </row>
    <row r="64" spans="1:5" ht="17.850000000000001" customHeight="1">
      <c r="A64" s="112">
        <v>64</v>
      </c>
      <c r="B64" s="77"/>
      <c r="C64" s="78"/>
      <c r="D64" s="78"/>
      <c r="E64" s="78"/>
    </row>
    <row r="65" spans="1:5" ht="17.850000000000001" customHeight="1">
      <c r="A65" s="112">
        <v>65</v>
      </c>
      <c r="B65" s="76"/>
      <c r="C65" s="81"/>
      <c r="D65" s="81"/>
      <c r="E65" s="81"/>
    </row>
    <row r="66" spans="1:5" ht="17.850000000000001" customHeight="1">
      <c r="A66" s="112">
        <v>66</v>
      </c>
      <c r="B66" s="77"/>
      <c r="C66" s="78"/>
      <c r="D66" s="78"/>
      <c r="E66" s="78"/>
    </row>
    <row r="67" spans="1:5" ht="17.850000000000001" customHeight="1">
      <c r="A67" s="112">
        <v>67</v>
      </c>
      <c r="B67" s="77"/>
      <c r="C67" s="81"/>
      <c r="D67" s="81"/>
      <c r="E67" s="81"/>
    </row>
    <row r="68" spans="1:5" ht="17.850000000000001" customHeight="1">
      <c r="A68" s="112">
        <v>68</v>
      </c>
      <c r="B68" s="76"/>
      <c r="C68" s="78"/>
      <c r="D68" s="78"/>
      <c r="E68" s="78"/>
    </row>
    <row r="69" spans="1:5" ht="17.850000000000001" customHeight="1">
      <c r="A69" s="112">
        <v>69</v>
      </c>
      <c r="B69" s="76"/>
      <c r="C69" s="78"/>
      <c r="D69" s="78"/>
      <c r="E69" s="78"/>
    </row>
    <row r="70" spans="1:5" ht="17.850000000000001" customHeight="1">
      <c r="A70" s="112">
        <v>70</v>
      </c>
      <c r="B70" s="76"/>
      <c r="C70" s="78"/>
      <c r="D70" s="78"/>
      <c r="E70" s="78"/>
    </row>
    <row r="71" spans="1:5" ht="17.850000000000001" customHeight="1">
      <c r="A71" s="112">
        <v>71</v>
      </c>
      <c r="B71" s="76"/>
      <c r="C71" s="78"/>
      <c r="D71" s="78"/>
      <c r="E71" s="78"/>
    </row>
    <row r="72" spans="1:5" ht="17.850000000000001" customHeight="1">
      <c r="A72" s="112">
        <v>72</v>
      </c>
      <c r="B72" s="76"/>
      <c r="C72" s="78"/>
      <c r="D72" s="78"/>
      <c r="E72" s="78"/>
    </row>
    <row r="73" spans="1:5" ht="17.850000000000001" customHeight="1">
      <c r="A73" s="112">
        <v>73</v>
      </c>
      <c r="B73" s="76"/>
      <c r="C73" s="78"/>
      <c r="D73" s="78"/>
      <c r="E73" s="79"/>
    </row>
    <row r="74" spans="1:5" ht="17.850000000000001" customHeight="1">
      <c r="A74" s="112">
        <v>74</v>
      </c>
      <c r="B74" s="76"/>
      <c r="C74" s="78"/>
      <c r="D74" s="78"/>
      <c r="E74" s="79"/>
    </row>
    <row r="75" spans="1:5" ht="17.850000000000001" customHeight="1">
      <c r="A75" s="112">
        <v>75</v>
      </c>
      <c r="B75" s="76"/>
      <c r="C75" s="78"/>
      <c r="D75" s="78"/>
      <c r="E75" s="79"/>
    </row>
    <row r="76" spans="1:5" ht="17.850000000000001" customHeight="1">
      <c r="A76" s="112">
        <v>76</v>
      </c>
      <c r="B76" s="84"/>
      <c r="C76" s="85"/>
      <c r="D76" s="85"/>
      <c r="E76" s="79"/>
    </row>
    <row r="77" spans="1:5" ht="17.850000000000001" customHeight="1">
      <c r="A77" s="112">
        <v>77</v>
      </c>
      <c r="B77" s="84"/>
      <c r="C77" s="85"/>
      <c r="D77" s="85"/>
      <c r="E77" s="79"/>
    </row>
    <row r="78" spans="1:5" ht="17.850000000000001" customHeight="1">
      <c r="A78" s="112">
        <v>78</v>
      </c>
      <c r="B78" s="84"/>
      <c r="C78" s="85"/>
      <c r="D78" s="85"/>
      <c r="E78" s="79"/>
    </row>
    <row r="79" spans="1:5" ht="17.850000000000001" customHeight="1">
      <c r="A79" s="112">
        <v>79</v>
      </c>
      <c r="B79" s="84"/>
      <c r="C79" s="85"/>
      <c r="D79" s="85"/>
      <c r="E79" s="79"/>
    </row>
    <row r="80" spans="1:5" ht="17.850000000000001" customHeight="1">
      <c r="A80" s="112">
        <v>80</v>
      </c>
      <c r="B80" s="84"/>
      <c r="C80" s="85"/>
      <c r="D80" s="85"/>
      <c r="E80" s="79"/>
    </row>
    <row r="81" spans="1:6" ht="17.850000000000001" customHeight="1">
      <c r="A81" s="112">
        <v>81</v>
      </c>
      <c r="B81" s="84"/>
      <c r="C81" s="85"/>
      <c r="D81" s="85"/>
      <c r="E81" s="86"/>
    </row>
    <row r="82" spans="1:6" ht="17.850000000000001" customHeight="1">
      <c r="A82" s="83"/>
      <c r="B82" s="84"/>
      <c r="C82" s="85"/>
      <c r="D82" s="85"/>
      <c r="E82" s="86"/>
    </row>
    <row r="83" spans="1:6" ht="15" customHeight="1">
      <c r="A83" s="25"/>
      <c r="B83" s="30"/>
      <c r="C83" s="31"/>
      <c r="D83" s="31"/>
      <c r="E83" s="80"/>
    </row>
    <row r="84" spans="1:6" ht="16.5" customHeight="1">
      <c r="A84" s="25"/>
      <c r="B84" s="25"/>
      <c r="C84" s="32"/>
      <c r="D84" s="32"/>
      <c r="E84" s="80"/>
    </row>
    <row r="85" spans="1:6" ht="16.5" customHeight="1">
      <c r="A85" s="8"/>
      <c r="B85" s="8"/>
      <c r="C85" s="8"/>
      <c r="D85" s="8"/>
      <c r="E85" s="8"/>
    </row>
    <row r="86" spans="1:6" ht="29.25" customHeight="1">
      <c r="A86" s="8"/>
      <c r="B86" s="8"/>
      <c r="C86" s="8"/>
      <c r="D86" s="8"/>
      <c r="E86" s="8"/>
    </row>
    <row r="87" spans="1:6" ht="15.75" customHeight="1">
      <c r="A87" s="143"/>
      <c r="B87" s="144"/>
      <c r="C87" s="144"/>
      <c r="D87" s="144"/>
      <c r="E87" s="144"/>
      <c r="F87" s="87"/>
    </row>
  </sheetData>
  <mergeCells count="4">
    <mergeCell ref="A87:E87"/>
    <mergeCell ref="A4:E4"/>
    <mergeCell ref="A5:E5"/>
    <mergeCell ref="A6:E6"/>
  </mergeCells>
  <conditionalFormatting sqref="E81:E82">
    <cfRule type="containsText" dxfId="0" priority="5" operator="containsText" text="A">
      <formula>NOT(ISERROR(SEARCH("A",E81)))</formula>
    </cfRule>
  </conditionalFormatting>
  <pageMargins left="0.7" right="0.7" top="0.75" bottom="0.75" header="0.3" footer="0.3"/>
  <pageSetup scale="79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>
      <selection activeCell="F16" sqref="B1:F16"/>
    </sheetView>
  </sheetViews>
  <sheetFormatPr defaultRowHeight="13.2"/>
  <cols>
    <col min="2" max="2" width="22" customWidth="1"/>
    <col min="3" max="3" width="20.44140625" customWidth="1"/>
    <col min="5" max="5" width="14.109375" customWidth="1"/>
    <col min="6" max="6" width="13.6640625" customWidth="1"/>
  </cols>
  <sheetData/>
  <sortState xmlns:xlrd2="http://schemas.microsoft.com/office/spreadsheetml/2017/richdata2" ref="C2:C73">
    <sortCondition ref="C2:C7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not eligible first</vt:lpstr>
      <vt:lpstr>unenroll list</vt:lpstr>
      <vt:lpstr>Student name -173</vt:lpstr>
      <vt:lpstr>Project Team</vt:lpstr>
      <vt:lpstr>Sheet1</vt:lpstr>
      <vt:lpstr>'Project Team'!Print_Area</vt:lpstr>
      <vt:lpstr>'Student name -173'!Print_Area</vt:lpstr>
      <vt:lpstr>'unenroll list'!Print_Area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IHL25-26</dc:title>
  <dc:creator>USER</dc:creator>
  <cp:lastModifiedBy>VATSYAVAYI CHAITANYA RAJU</cp:lastModifiedBy>
  <cp:lastPrinted>2026-09-09T10:09:32Z</cp:lastPrinted>
  <dcterms:created xsi:type="dcterms:W3CDTF">2025-08-22T06:15:29Z</dcterms:created>
  <dcterms:modified xsi:type="dcterms:W3CDTF">2026-09-30T10:48:39Z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2025-08-22T00:00:00Z</vt:filetime>
  </property>
  <property fmtid="{D5CDD505-2E9C-101B-9397-08002B2CF9AE}" pid="3" name="Creator">
    <vt:lpwstr>Google Sheets</vt:lpwstr>
  </property>
  <property fmtid="{D5CDD505-2E9C-101B-9397-08002B2CF9AE}" pid="4" name="LastSaved">
    <vt:filetime>2025-08-22T00:00:00Z</vt:filetime>
  </property>
</Properties>
</file>